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zoiri\Desktop\Vietnam\"/>
    </mc:Choice>
  </mc:AlternateContent>
  <xr:revisionPtr revIDLastSave="0" documentId="13_ncr:1_{0EB9F19B-451B-49C5-BD92-A5A506BE0069}" xr6:coauthVersionLast="47" xr6:coauthVersionMax="47" xr10:uidLastSave="{00000000-0000-0000-0000-000000000000}"/>
  <bookViews>
    <workbookView xWindow="-110" yWindow="-110" windowWidth="19420" windowHeight="10300" tabRatio="895" activeTab="2" xr2:uid="{FDB8A8DE-B946-4720-A77C-A933362E7AF8}"/>
  </bookViews>
  <sheets>
    <sheet name="Data description" sheetId="16" r:id="rId1"/>
    <sheet name="Data" sheetId="12" r:id="rId2"/>
    <sheet name="Whole country(wide)" sheetId="19" r:id="rId3"/>
    <sheet name="Data_map" sheetId="22" r:id="rId4"/>
    <sheet name="Outcome" sheetId="1" r:id="rId5"/>
    <sheet name="Poverty rate" sheetId="6" r:id="rId6"/>
    <sheet name="Turnover by province" sheetId="7" r:id="rId7"/>
    <sheet name="Turnover by region" sheetId="10" r:id="rId8"/>
    <sheet name="GDP per capita" sheetId="14" r:id="rId9"/>
    <sheet name="income per capita" sheetId="18" r:id="rId10"/>
    <sheet name="HDI" sheetId="15" r:id="rId11"/>
    <sheet name="Gini" sheetId="8" r:id="rId12"/>
    <sheet name="Exp_domestic" sheetId="4" r:id="rId13"/>
    <sheet name="Exp_foreing" sheetId="5" r:id="rId14"/>
  </sheets>
  <definedNames>
    <definedName name="_xlnm._FilterDatabase" localSheetId="1" hidden="1">Data!$A$1:$I$64</definedName>
    <definedName name="_xlnm._FilterDatabase" localSheetId="3" hidden="1">Data_map!$A$1:$C$64</definedName>
    <definedName name="_xlnm._FilterDatabase" localSheetId="11" hidden="1">Gini!$A$4:$E$73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2" l="1"/>
  <c r="L5" i="12"/>
  <c r="L4" i="12"/>
  <c r="L3" i="12"/>
  <c r="L2" i="12"/>
  <c r="E14" i="19"/>
  <c r="F14" i="19"/>
  <c r="G14" i="19"/>
  <c r="H14" i="19"/>
  <c r="I14" i="19"/>
  <c r="J14" i="19"/>
  <c r="K14" i="19"/>
  <c r="L14" i="19"/>
  <c r="M14" i="19"/>
  <c r="N14" i="19"/>
  <c r="O14" i="19"/>
  <c r="P14" i="19"/>
  <c r="Q14" i="19"/>
  <c r="R14" i="19"/>
  <c r="S14" i="19"/>
  <c r="T14" i="19"/>
  <c r="U14" i="19"/>
  <c r="V14" i="19"/>
  <c r="W14" i="19"/>
  <c r="X14" i="19"/>
  <c r="D14" i="19"/>
  <c r="J23" i="6"/>
  <c r="J34" i="6"/>
  <c r="J54" i="6"/>
  <c r="J14" i="6"/>
  <c r="J7" i="6"/>
  <c r="J33" i="6"/>
  <c r="J22" i="6"/>
  <c r="J67" i="6"/>
  <c r="J37" i="6"/>
  <c r="J45" i="6"/>
  <c r="J15" i="6"/>
  <c r="J63" i="6"/>
  <c r="J18" i="6"/>
  <c r="J52" i="6"/>
  <c r="J42" i="6"/>
  <c r="J17" i="6"/>
  <c r="J30" i="6"/>
  <c r="J36" i="6"/>
  <c r="J48" i="6"/>
  <c r="J62" i="6"/>
  <c r="J49" i="6"/>
  <c r="J47" i="6"/>
  <c r="J50" i="6"/>
  <c r="J41" i="6"/>
  <c r="J44" i="6"/>
  <c r="J59" i="6"/>
  <c r="J4" i="6"/>
  <c r="J66" i="6"/>
  <c r="J46" i="6"/>
  <c r="J10" i="6"/>
  <c r="J39" i="6"/>
  <c r="J9" i="6"/>
  <c r="J60" i="6"/>
  <c r="J26" i="6"/>
  <c r="J35" i="6"/>
  <c r="J64" i="6"/>
  <c r="J21" i="6"/>
  <c r="J32" i="6"/>
  <c r="J13" i="6"/>
  <c r="J38" i="6"/>
  <c r="J61" i="6"/>
  <c r="J12" i="6"/>
  <c r="J58" i="6"/>
  <c r="J6" i="6"/>
  <c r="J24" i="6"/>
  <c r="J57" i="6"/>
  <c r="J31" i="6"/>
  <c r="J43" i="6"/>
  <c r="J40" i="6"/>
  <c r="J56" i="6"/>
  <c r="J27" i="6"/>
  <c r="J51" i="6"/>
  <c r="J65" i="6"/>
  <c r="J8" i="6"/>
  <c r="J16" i="6"/>
  <c r="J53" i="6"/>
  <c r="J5" i="6"/>
  <c r="J20" i="6"/>
  <c r="J28" i="6"/>
  <c r="J55" i="6"/>
  <c r="J11" i="6"/>
  <c r="J25" i="6"/>
  <c r="J29" i="6"/>
  <c r="J19" i="6"/>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4" i="8"/>
</calcChain>
</file>

<file path=xl/sharedStrings.xml><?xml version="1.0" encoding="utf-8"?>
<sst xmlns="http://schemas.openxmlformats.org/spreadsheetml/2006/main" count="816" uniqueCount="175">
  <si>
    <t>Outcome of tourism by Iterm and Year</t>
  </si>
  <si>
    <t>Iterm</t>
  </si>
  <si>
    <t>Prel. 2022</t>
  </si>
  <si>
    <t>Turnover of accommodation establishments (Bill. Dongs)</t>
  </si>
  <si>
    <t>Turnover of travel agencies (Bill. Dongs)</t>
  </si>
  <si>
    <t>Visitors serviced by accommodation establishments (Thous. Visits)</t>
  </si>
  <si>
    <t>Visitors stay overnight (Thous. Visits)</t>
  </si>
  <si>
    <t>..</t>
  </si>
  <si>
    <t>Visistors in day (Thous. Visits)</t>
  </si>
  <si>
    <t>Domestic visitors (Thous. Visits)</t>
  </si>
  <si>
    <t>Foreign visitors (Thous. Visits)</t>
  </si>
  <si>
    <t>Visitors serviced by travel agencies (Thous. Visits)</t>
  </si>
  <si>
    <t>Domestic visitors (Thous. Visits).</t>
  </si>
  <si>
    <t>Foreign visitors (Thous. Visits).</t>
  </si>
  <si>
    <t>Vietnamese travelling abroad (Thous. Visits)</t>
  </si>
  <si>
    <t>Average expenditure per day of domestic tourists by expenses by Value and Structure, Purpose and Year</t>
  </si>
  <si>
    <t>Value and Structure</t>
  </si>
  <si>
    <t>Purpose</t>
  </si>
  <si>
    <t>Value (Thous.dongs)</t>
  </si>
  <si>
    <t>Average expenditure per day of domestic tourists</t>
  </si>
  <si>
    <t>Accommodation</t>
  </si>
  <si>
    <t>Food</t>
  </si>
  <si>
    <t>Transportion</t>
  </si>
  <si>
    <t>Sightseeing</t>
  </si>
  <si>
    <t>Shopping</t>
  </si>
  <si>
    <t>Health</t>
  </si>
  <si>
    <t>Others</t>
  </si>
  <si>
    <t>Structure (%)</t>
  </si>
  <si>
    <t>Average expenditure per day of foreign tourists to Viet Nam by expenses by Items, Purpose and Year</t>
  </si>
  <si>
    <t>Items</t>
  </si>
  <si>
    <t>Value (USD)</t>
  </si>
  <si>
    <t>Transportion in Viet Nam</t>
  </si>
  <si>
    <t>Cities, provincies</t>
  </si>
  <si>
    <t>WHOLE COUNTRY</t>
  </si>
  <si>
    <t>Red River Delta</t>
  </si>
  <si>
    <t>Ha Noi</t>
  </si>
  <si>
    <t>Vinh Phuc</t>
  </si>
  <si>
    <t>Bac Ninh</t>
  </si>
  <si>
    <t>Quang Ninh</t>
  </si>
  <si>
    <t>Hai Duong</t>
  </si>
  <si>
    <t>Hai Phong</t>
  </si>
  <si>
    <t>Hung Yen</t>
  </si>
  <si>
    <t>Thai Binh</t>
  </si>
  <si>
    <t>Ha Nam</t>
  </si>
  <si>
    <t>Nam Dinh</t>
  </si>
  <si>
    <t>Ninh Binh</t>
  </si>
  <si>
    <t>Northern midlands and mountain areas</t>
  </si>
  <si>
    <t>Ha Giang</t>
  </si>
  <si>
    <t>Cao Bang</t>
  </si>
  <si>
    <t>Bac Kan</t>
  </si>
  <si>
    <t>Tuyen Quang</t>
  </si>
  <si>
    <t>Lao Cai</t>
  </si>
  <si>
    <t>Yen Bai</t>
  </si>
  <si>
    <t>Thai Nguyen</t>
  </si>
  <si>
    <t>Lang Son</t>
  </si>
  <si>
    <t>Bac Giang</t>
  </si>
  <si>
    <t>Phu Tho</t>
  </si>
  <si>
    <t>Dien Bien</t>
  </si>
  <si>
    <t>Lai Chau</t>
  </si>
  <si>
    <t>Son La</t>
  </si>
  <si>
    <t>Hoa Binh</t>
  </si>
  <si>
    <t>Northern Central area and Central coastal area</t>
  </si>
  <si>
    <t>Thanh Hoa</t>
  </si>
  <si>
    <t>Nghe An</t>
  </si>
  <si>
    <t>Ha Tinh</t>
  </si>
  <si>
    <t>Quang Binh</t>
  </si>
  <si>
    <t>Quang Tri</t>
  </si>
  <si>
    <t>Thua Thien-Hue</t>
  </si>
  <si>
    <t>Da Nang</t>
  </si>
  <si>
    <t>Quang  Nam</t>
  </si>
  <si>
    <t>Quang  Ngai</t>
  </si>
  <si>
    <t>Binh Dinh</t>
  </si>
  <si>
    <t>Phu Yen</t>
  </si>
  <si>
    <t>Khanh  Hoa</t>
  </si>
  <si>
    <t>Ninh  Thuan</t>
  </si>
  <si>
    <t>Binh Thuan</t>
  </si>
  <si>
    <t>Central Highlands</t>
  </si>
  <si>
    <t>Kon Tum</t>
  </si>
  <si>
    <t>Gia Lai</t>
  </si>
  <si>
    <t>Dak Lak</t>
  </si>
  <si>
    <t>Dak Nong</t>
  </si>
  <si>
    <t>Lam Dong</t>
  </si>
  <si>
    <t>South East</t>
  </si>
  <si>
    <t>Binh Phuoc</t>
  </si>
  <si>
    <t>Tay Ninh</t>
  </si>
  <si>
    <t>Binh Duong</t>
  </si>
  <si>
    <t>Dong Nai</t>
  </si>
  <si>
    <t>Ba Ria - Vung Tau</t>
  </si>
  <si>
    <t>Ho Chi Minh city</t>
  </si>
  <si>
    <t>Mekong River Delta</t>
  </si>
  <si>
    <t>Long An</t>
  </si>
  <si>
    <t>Tien Giang</t>
  </si>
  <si>
    <t>Ben Tre</t>
  </si>
  <si>
    <t>Tra Vinh</t>
  </si>
  <si>
    <t>Vinh Long</t>
  </si>
  <si>
    <t>Dong Thap</t>
  </si>
  <si>
    <t>An Giang</t>
  </si>
  <si>
    <t>Kien  Giang</t>
  </si>
  <si>
    <t>Can Tho</t>
  </si>
  <si>
    <t>Hau Giang</t>
  </si>
  <si>
    <t>Soc Trang</t>
  </si>
  <si>
    <t>Bac Lieu</t>
  </si>
  <si>
    <t>Ca Mau</t>
  </si>
  <si>
    <t>Turnover of travelling at current prices by province by Cities, provincies and Year</t>
  </si>
  <si>
    <t xml:space="preserve"> WHOLE COUNTRY</t>
  </si>
  <si>
    <t>Thai  Nguyen</t>
  </si>
  <si>
    <t>Binh  Duong</t>
  </si>
  <si>
    <t>Index of income inequality distribution (GINI index) by province by Cities, provincies and Year</t>
  </si>
  <si>
    <t>Gross regional domestic product per capita by province by Cities (mill Dong), provincies and Year</t>
  </si>
  <si>
    <t>Prel. 2023</t>
  </si>
  <si>
    <t>Poverty rate according to Multi-dimensional poverty rate(*) by province by Cities, provincies and Year (%)</t>
  </si>
  <si>
    <t>Human Development Index by province(*) by Cities, provincies and Year</t>
  </si>
  <si>
    <t>Variable</t>
  </si>
  <si>
    <t>Year</t>
  </si>
  <si>
    <t>Unit</t>
  </si>
  <si>
    <t>%</t>
  </si>
  <si>
    <t>Travel turnover</t>
  </si>
  <si>
    <t>Share of travel turnover</t>
  </si>
  <si>
    <t>GDP per capita</t>
  </si>
  <si>
    <t xml:space="preserve">Multidimensional Poverty rate </t>
  </si>
  <si>
    <t>HDI</t>
  </si>
  <si>
    <t>(Bill. Dongs)</t>
  </si>
  <si>
    <t>(Person/km2)</t>
  </si>
  <si>
    <t>Population density</t>
  </si>
  <si>
    <t>Gini index</t>
  </si>
  <si>
    <t>Mill. dongs</t>
  </si>
  <si>
    <t>MPR</t>
  </si>
  <si>
    <t>PD</t>
  </si>
  <si>
    <t>TT</t>
  </si>
  <si>
    <t>Share TT</t>
  </si>
  <si>
    <t>Gini</t>
  </si>
  <si>
    <t>Name</t>
  </si>
  <si>
    <t>Monthly average income per capita at current prices by income source and by province by Cities, provincies, Year and Income source</t>
  </si>
  <si>
    <t>2010 Total</t>
  </si>
  <si>
    <t>2012 Total</t>
  </si>
  <si>
    <t>2014 Total</t>
  </si>
  <si>
    <t>2016 Total</t>
  </si>
  <si>
    <t>2018 Total</t>
  </si>
  <si>
    <t>2019 Total</t>
  </si>
  <si>
    <t>2020 Total</t>
  </si>
  <si>
    <t>2021 Total</t>
  </si>
  <si>
    <t>2022 Total</t>
  </si>
  <si>
    <t>Prel. 2023 Total</t>
  </si>
  <si>
    <t>Income per capita</t>
  </si>
  <si>
    <t>Thous. dongs</t>
  </si>
  <si>
    <t>IPC</t>
  </si>
  <si>
    <t>Growth rate of GDP at constant 2010 prices (Previous year = 100) (%)</t>
  </si>
  <si>
    <t>change</t>
  </si>
  <si>
    <t>Domestic</t>
  </si>
  <si>
    <t>Foreign</t>
  </si>
  <si>
    <t>Number_of_Visitiors</t>
  </si>
  <si>
    <t>Income_per_capita</t>
  </si>
  <si>
    <t>GDP_per_capita</t>
  </si>
  <si>
    <t>Growth_rate_GDP</t>
  </si>
  <si>
    <t>Tourism_share_gdp</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</si>
  <si>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local currency.</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</si>
  <si>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</si>
  <si>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WB_GDP_per_capita</t>
  </si>
  <si>
    <t>Kien Giang</t>
  </si>
  <si>
    <t>Ninh Thuan</t>
  </si>
  <si>
    <t>Khanh Hoa</t>
  </si>
  <si>
    <t xml:space="preserve">	
Quang Nam</t>
  </si>
  <si>
    <t xml:space="preserve">	
Quang Ngai</t>
  </si>
  <si>
    <t>Thua Thien - Hue</t>
  </si>
  <si>
    <t xml:space="preserve">	
TP. Ho Chi Minh</t>
  </si>
  <si>
    <t>GDP_ per_capita</t>
  </si>
  <si>
    <t>2015-2022</t>
  </si>
  <si>
    <t>World Bank</t>
  </si>
  <si>
    <t>2015-2023</t>
  </si>
  <si>
    <t>2015-2024</t>
  </si>
  <si>
    <t>Source</t>
  </si>
  <si>
    <t>Vietnam statistical office</t>
  </si>
  <si>
    <t>Statistica</t>
  </si>
  <si>
    <t>2015-2025</t>
  </si>
  <si>
    <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</si>
</sst>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000000%"/>
  </numFmts>
  <fonts count="4" x14ac:knownFonts="1">
    <font>
      <sz val="11"/>
      <color theme="1"/>
      <name val="Aptos Narrow"/>
      <family val="2"/>
      <scheme val="minor"/>
    </font>
    <font>
      <sz val="11"/>
      <color theme="1"/>
      <name val="Aptos Narrow"/>
      <family val="2"/>
      <scheme val="minor"/>
    </font>
    <font>
      <sz val="6"/>
      <color rgb="FF000000"/>
      <name val="Segoe UI"/>
      <family val="2"/>
    </font>
    <font>
      <sz val="8"/>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FFFF"/>
        <bgColor indexed="64"/>
      </patternFill>
    </fill>
  </fills>
  <borders count="2">
    <border>
      <left/>
      <right/>
      <top/>
      <bottom/>
      <diagonal/>
    </border>
    <border>
      <left/>
      <right style="medium">
        <color rgb="FFD6DADC"/>
      </right>
      <top/>
      <bottom style="medium">
        <color rgb="FFD6DADC"/>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2" borderId="0" xfId="0" applyFill="1"/>
    <xf numFmtId="0" fontId="0" fillId="3" borderId="0" xfId="0" applyFill="1"/>
    <xf numFmtId="0" fontId="0" fillId="0" borderId="0" xfId="0" applyAlignment="1">
      <alignment wrapText="1"/>
    </xf>
    <xf numFmtId="0" fontId="0" fillId="0" borderId="0" xfId="0" applyAlignment="1">
      <alignment horizontal="center"/>
    </xf>
    <xf numFmtId="9" fontId="0" fillId="0" borderId="0" xfId="1" applyFont="1" applyAlignment="1">
      <alignment horizontal="center"/>
    </xf>
    <xf numFmtId="0" fontId="0" fillId="3" borderId="0" xfId="0" applyFill="1" applyAlignment="1">
      <alignment horizontal="center"/>
    </xf>
    <xf numFmtId="0" fontId="0" fillId="4" borderId="0" xfId="0" applyFill="1"/>
    <xf numFmtId="0" fontId="0" fillId="4" borderId="0" xfId="0" applyFill="1" applyAlignment="1">
      <alignment horizontal="center"/>
    </xf>
    <xf numFmtId="164" fontId="0" fillId="4" borderId="0" xfId="1" applyNumberFormat="1" applyFont="1" applyFill="1" applyAlignment="1">
      <alignment horizontal="center"/>
    </xf>
    <xf numFmtId="164" fontId="0" fillId="0" borderId="0" xfId="1" applyNumberFormat="1" applyFont="1" applyAlignment="1">
      <alignment horizontal="center"/>
    </xf>
    <xf numFmtId="0" fontId="0" fillId="0" borderId="0" xfId="0" applyAlignment="1">
      <alignment horizontal="left"/>
    </xf>
    <xf numFmtId="164" fontId="0" fillId="0" borderId="0" xfId="1" applyNumberFormat="1" applyFont="1" applyFill="1" applyAlignment="1">
      <alignment horizontal="center"/>
    </xf>
    <xf numFmtId="0" fontId="0" fillId="5" borderId="0" xfId="0" applyFill="1"/>
    <xf numFmtId="0" fontId="0" fillId="5" borderId="0" xfId="0" applyFill="1" applyAlignment="1">
      <alignment horizontal="center"/>
    </xf>
    <xf numFmtId="164" fontId="0" fillId="5" borderId="0" xfId="1" applyNumberFormat="1" applyFont="1" applyFill="1" applyAlignment="1">
      <alignment horizontal="center"/>
    </xf>
    <xf numFmtId="0" fontId="0" fillId="6" borderId="0" xfId="0" applyFill="1"/>
    <xf numFmtId="1" fontId="0" fillId="0" borderId="0" xfId="0" applyNumberFormat="1"/>
    <xf numFmtId="0" fontId="2" fillId="0" borderId="0" xfId="0" applyFont="1"/>
    <xf numFmtId="0" fontId="0" fillId="4" borderId="0" xfId="0" applyFill="1" applyAlignment="1">
      <alignment wrapText="1"/>
    </xf>
    <xf numFmtId="0" fontId="2" fillId="7" borderId="0" xfId="0" applyFont="1" applyFill="1" applyAlignment="1">
      <alignment vertical="center"/>
    </xf>
    <xf numFmtId="0" fontId="0" fillId="0" borderId="1" xfId="0" applyBorder="1"/>
    <xf numFmtId="165"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5796D-3929-4233-9382-D87155B9EC41}">
  <dimension ref="A1:F13"/>
  <sheetViews>
    <sheetView workbookViewId="0">
      <selection activeCell="A7" sqref="A7"/>
    </sheetView>
  </sheetViews>
  <sheetFormatPr defaultRowHeight="14.5" x14ac:dyDescent="0.35"/>
  <cols>
    <col min="1" max="1" width="59.36328125" style="3" customWidth="1"/>
    <col min="2" max="2" width="8.7265625" style="4"/>
    <col min="3" max="3" width="23.90625" style="4" customWidth="1"/>
    <col min="4" max="4" width="16.453125" style="4" customWidth="1"/>
    <col min="5" max="5" width="25.1796875" customWidth="1"/>
    <col min="6" max="6" width="43.90625" customWidth="1"/>
  </cols>
  <sheetData>
    <row r="1" spans="1:6" x14ac:dyDescent="0.35">
      <c r="A1" s="3" t="s">
        <v>112</v>
      </c>
      <c r="B1" s="4" t="s">
        <v>113</v>
      </c>
      <c r="C1" s="4" t="s">
        <v>170</v>
      </c>
      <c r="D1" s="4" t="s">
        <v>114</v>
      </c>
      <c r="E1" t="s">
        <v>131</v>
      </c>
    </row>
    <row r="2" spans="1:6" s="11" customFormat="1" x14ac:dyDescent="0.35">
      <c r="A2" s="3" t="s">
        <v>124</v>
      </c>
      <c r="B2" s="4">
        <v>2021</v>
      </c>
      <c r="C2" s="4" t="s">
        <v>171</v>
      </c>
      <c r="D2" s="4" t="s">
        <v>115</v>
      </c>
      <c r="E2" s="3" t="s">
        <v>130</v>
      </c>
    </row>
    <row r="3" spans="1:6" x14ac:dyDescent="0.35">
      <c r="A3" s="3" t="s">
        <v>116</v>
      </c>
      <c r="B3" s="4" t="s">
        <v>166</v>
      </c>
      <c r="C3" s="4" t="s">
        <v>171</v>
      </c>
      <c r="D3" s="4" t="s">
        <v>121</v>
      </c>
      <c r="E3" s="3" t="s">
        <v>128</v>
      </c>
    </row>
    <row r="4" spans="1:6" x14ac:dyDescent="0.35">
      <c r="A4" s="3" t="s">
        <v>117</v>
      </c>
      <c r="B4" s="4">
        <v>2022</v>
      </c>
      <c r="C4" s="4" t="s">
        <v>171</v>
      </c>
      <c r="D4" s="4" t="s">
        <v>115</v>
      </c>
      <c r="E4" s="3" t="s">
        <v>129</v>
      </c>
    </row>
    <row r="5" spans="1:6" x14ac:dyDescent="0.35">
      <c r="A5" s="3" t="s">
        <v>123</v>
      </c>
      <c r="B5" s="4">
        <v>2022</v>
      </c>
      <c r="C5" s="4" t="s">
        <v>171</v>
      </c>
      <c r="D5" s="4" t="s">
        <v>122</v>
      </c>
      <c r="E5" s="3" t="s">
        <v>127</v>
      </c>
    </row>
    <row r="6" spans="1:6" x14ac:dyDescent="0.35">
      <c r="A6" t="s">
        <v>118</v>
      </c>
      <c r="B6" s="4">
        <v>2022</v>
      </c>
      <c r="C6" s="4" t="s">
        <v>171</v>
      </c>
      <c r="D6" s="4" t="s">
        <v>125</v>
      </c>
      <c r="E6" s="3" t="s">
        <v>165</v>
      </c>
    </row>
    <row r="7" spans="1:6" x14ac:dyDescent="0.35">
      <c r="A7" s="3" t="s">
        <v>119</v>
      </c>
      <c r="B7" s="4" t="s">
        <v>166</v>
      </c>
      <c r="C7" s="4" t="s">
        <v>171</v>
      </c>
      <c r="D7" s="4" t="s">
        <v>115</v>
      </c>
      <c r="E7" s="3" t="s">
        <v>126</v>
      </c>
    </row>
    <row r="8" spans="1:6" x14ac:dyDescent="0.35">
      <c r="A8" s="3" t="s">
        <v>120</v>
      </c>
      <c r="B8" s="4">
        <v>2022</v>
      </c>
      <c r="C8" s="4" t="s">
        <v>171</v>
      </c>
      <c r="E8" s="3" t="s">
        <v>120</v>
      </c>
    </row>
    <row r="9" spans="1:6" x14ac:dyDescent="0.35">
      <c r="A9" s="3" t="s">
        <v>143</v>
      </c>
      <c r="B9" s="4">
        <v>2022</v>
      </c>
      <c r="C9" s="4" t="s">
        <v>171</v>
      </c>
      <c r="D9" s="4" t="s">
        <v>144</v>
      </c>
      <c r="E9" s="3" t="s">
        <v>145</v>
      </c>
    </row>
    <row r="10" spans="1:6" x14ac:dyDescent="0.35">
      <c r="A10" s="3" t="s">
        <v>146</v>
      </c>
      <c r="B10" s="4" t="s">
        <v>166</v>
      </c>
      <c r="C10" s="4" t="s">
        <v>167</v>
      </c>
      <c r="D10" s="4" t="s">
        <v>115</v>
      </c>
      <c r="E10" t="s">
        <v>153</v>
      </c>
      <c r="F10" t="s">
        <v>156</v>
      </c>
    </row>
    <row r="11" spans="1:6" x14ac:dyDescent="0.35">
      <c r="A11" s="3" t="s">
        <v>118</v>
      </c>
      <c r="B11" s="4" t="s">
        <v>168</v>
      </c>
      <c r="C11" s="4" t="s">
        <v>167</v>
      </c>
      <c r="D11" s="4" t="s">
        <v>144</v>
      </c>
      <c r="E11" t="s">
        <v>157</v>
      </c>
      <c r="F11" t="s">
        <v>155</v>
      </c>
    </row>
    <row r="12" spans="1:6" x14ac:dyDescent="0.35">
      <c r="A12" t="s">
        <v>154</v>
      </c>
      <c r="B12" s="4" t="s">
        <v>169</v>
      </c>
      <c r="C12" s="4" t="s">
        <v>172</v>
      </c>
      <c r="D12" s="4" t="s">
        <v>115</v>
      </c>
      <c r="E12" t="s">
        <v>154</v>
      </c>
    </row>
    <row r="13" spans="1:6" x14ac:dyDescent="0.35">
      <c r="A13" t="s">
        <v>3</v>
      </c>
      <c r="B13" s="4" t="s">
        <v>173</v>
      </c>
      <c r="C13" s="4" t="s">
        <v>171</v>
      </c>
      <c r="D13" s="4" t="s">
        <v>121</v>
      </c>
      <c r="E13" s="4" t="s">
        <v>174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27F9-CF83-40DA-B247-DD4965364F28}">
  <dimension ref="A1:L65"/>
  <sheetViews>
    <sheetView zoomScale="94" workbookViewId="0">
      <selection activeCell="A6" sqref="A6"/>
    </sheetView>
  </sheetViews>
  <sheetFormatPr defaultRowHeight="14.5" x14ac:dyDescent="0.35"/>
  <cols>
    <col min="1" max="1" width="27" customWidth="1"/>
    <col min="2" max="4" width="8.7265625" style="4"/>
    <col min="5" max="5" width="18.6328125" style="4" customWidth="1"/>
    <col min="11" max="11" width="21.1796875" bestFit="1" customWidth="1"/>
    <col min="12" max="12" width="4.54296875" customWidth="1"/>
  </cols>
  <sheetData>
    <row r="1" spans="1:12" s="3" customFormat="1" ht="29" x14ac:dyDescent="0.35">
      <c r="A1" s="3" t="s">
        <v>32</v>
      </c>
      <c r="B1" s="3" t="s">
        <v>130</v>
      </c>
      <c r="C1" s="3" t="s">
        <v>128</v>
      </c>
      <c r="D1" s="3" t="s">
        <v>129</v>
      </c>
      <c r="E1" s="3" t="s">
        <v>127</v>
      </c>
      <c r="F1" s="3" t="s">
        <v>118</v>
      </c>
      <c r="G1" s="3" t="s">
        <v>126</v>
      </c>
      <c r="H1" s="3" t="s">
        <v>120</v>
      </c>
      <c r="I1" s="3" t="s">
        <v>145</v>
      </c>
    </row>
    <row r="2" spans="1:12" x14ac:dyDescent="0.35">
      <c r="A2" s="7" t="s">
        <v>88</v>
      </c>
      <c r="B2" s="8">
        <v>0.3</v>
      </c>
      <c r="C2" s="8">
        <v>17735.8</v>
      </c>
      <c r="D2" s="9">
        <v>0.50024961992897821</v>
      </c>
      <c r="E2" s="8">
        <v>4481</v>
      </c>
      <c r="F2">
        <v>159.4</v>
      </c>
      <c r="G2">
        <v>0</v>
      </c>
      <c r="H2">
        <v>0.81100000000000005</v>
      </c>
      <c r="I2">
        <v>6392</v>
      </c>
      <c r="K2" s="22"/>
      <c r="L2" s="17">
        <f>50/28</f>
        <v>1.7857142857142858</v>
      </c>
    </row>
    <row r="3" spans="1:12" x14ac:dyDescent="0.35">
      <c r="A3" s="7" t="s">
        <v>35</v>
      </c>
      <c r="B3" s="8">
        <v>0.35899999999999999</v>
      </c>
      <c r="C3" s="8">
        <v>10054.700000000001</v>
      </c>
      <c r="D3" s="9">
        <v>0.28359926552509035</v>
      </c>
      <c r="E3" s="8">
        <v>2511</v>
      </c>
      <c r="F3">
        <v>141.6</v>
      </c>
      <c r="G3">
        <v>0.1</v>
      </c>
      <c r="H3">
        <v>0.81799999999999995</v>
      </c>
      <c r="I3">
        <v>6423</v>
      </c>
      <c r="L3">
        <f>50/6</f>
        <v>8.3333333333333339</v>
      </c>
    </row>
    <row r="4" spans="1:12" x14ac:dyDescent="0.35">
      <c r="A4" s="7" t="s">
        <v>68</v>
      </c>
      <c r="B4" s="8">
        <v>0.32900000000000001</v>
      </c>
      <c r="C4" s="8">
        <v>2267.1</v>
      </c>
      <c r="D4" s="9">
        <v>6.3945010280956394E-2</v>
      </c>
      <c r="E4" s="8">
        <v>950</v>
      </c>
      <c r="F4">
        <v>102</v>
      </c>
      <c r="G4">
        <v>0.9</v>
      </c>
      <c r="H4">
        <v>0.8</v>
      </c>
      <c r="I4">
        <v>5807</v>
      </c>
      <c r="L4">
        <f>50/5</f>
        <v>10</v>
      </c>
    </row>
    <row r="5" spans="1:12" x14ac:dyDescent="0.35">
      <c r="A5" s="7" t="s">
        <v>73</v>
      </c>
      <c r="B5" s="8">
        <v>0.374</v>
      </c>
      <c r="C5" s="8">
        <v>1376.5</v>
      </c>
      <c r="D5" s="9">
        <v>3.8825065789659247E-2</v>
      </c>
      <c r="E5" s="8">
        <v>241</v>
      </c>
      <c r="F5">
        <v>77.2</v>
      </c>
      <c r="G5">
        <v>3.1</v>
      </c>
      <c r="H5">
        <v>0.73599999999999999</v>
      </c>
      <c r="I5">
        <v>3729</v>
      </c>
      <c r="L5">
        <f>50/2</f>
        <v>25</v>
      </c>
    </row>
    <row r="6" spans="1:12" x14ac:dyDescent="0.35">
      <c r="A6" s="7" t="s">
        <v>38</v>
      </c>
      <c r="B6" s="8">
        <v>0.27700000000000002</v>
      </c>
      <c r="C6" s="8">
        <v>608.5</v>
      </c>
      <c r="D6" s="9">
        <v>1.716313296985663E-2</v>
      </c>
      <c r="E6" s="8">
        <v>220</v>
      </c>
      <c r="F6">
        <v>197.7</v>
      </c>
      <c r="G6">
        <v>1.1000000000000001</v>
      </c>
      <c r="H6">
        <v>0.78400000000000003</v>
      </c>
      <c r="I6">
        <v>4811</v>
      </c>
    </row>
    <row r="7" spans="1:12" x14ac:dyDescent="0.35">
      <c r="A7" t="s">
        <v>97</v>
      </c>
      <c r="B7" s="4">
        <v>0.41</v>
      </c>
      <c r="C7" s="4">
        <v>443.9</v>
      </c>
      <c r="D7" s="12">
        <v>1.2520484347279141E-2</v>
      </c>
      <c r="E7" s="4">
        <v>276</v>
      </c>
      <c r="F7">
        <v>66.3</v>
      </c>
      <c r="H7">
        <v>0.68300000000000005</v>
      </c>
      <c r="I7">
        <v>4287</v>
      </c>
    </row>
    <row r="8" spans="1:12" x14ac:dyDescent="0.35">
      <c r="A8" t="s">
        <v>65</v>
      </c>
      <c r="B8" s="4">
        <v>0.36499999999999999</v>
      </c>
      <c r="C8" s="4">
        <v>230.6</v>
      </c>
      <c r="D8" s="12">
        <v>6.5042209742792751E-3</v>
      </c>
      <c r="E8" s="4">
        <v>114</v>
      </c>
      <c r="F8">
        <v>54.9</v>
      </c>
      <c r="G8">
        <v>6.3</v>
      </c>
      <c r="H8">
        <v>0.70399999999999996</v>
      </c>
      <c r="I8">
        <v>3625</v>
      </c>
      <c r="L8">
        <f>8/50</f>
        <v>0.16</v>
      </c>
    </row>
    <row r="9" spans="1:12" x14ac:dyDescent="0.35">
      <c r="A9" s="13" t="s">
        <v>40</v>
      </c>
      <c r="B9" s="14">
        <v>0.28599999999999998</v>
      </c>
      <c r="C9" s="14">
        <v>217</v>
      </c>
      <c r="D9" s="15">
        <v>6.1206242472619373E-3</v>
      </c>
      <c r="E9" s="14">
        <v>1368</v>
      </c>
      <c r="F9" s="13">
        <v>173.5</v>
      </c>
      <c r="G9" s="13">
        <v>0.6</v>
      </c>
      <c r="H9" s="13">
        <v>0.80700000000000005</v>
      </c>
      <c r="I9">
        <v>5897</v>
      </c>
    </row>
    <row r="10" spans="1:12" x14ac:dyDescent="0.35">
      <c r="A10" s="13" t="s">
        <v>87</v>
      </c>
      <c r="B10" s="14">
        <v>0.38800000000000001</v>
      </c>
      <c r="C10" s="14">
        <v>206</v>
      </c>
      <c r="D10" s="15">
        <v>5.8103621886449724E-3</v>
      </c>
      <c r="E10" s="14">
        <v>595</v>
      </c>
      <c r="F10" s="13">
        <v>357.2</v>
      </c>
      <c r="G10" s="13">
        <v>0.8</v>
      </c>
      <c r="H10" s="13">
        <v>0.82099999999999995</v>
      </c>
      <c r="I10">
        <v>4815</v>
      </c>
    </row>
    <row r="11" spans="1:12" x14ac:dyDescent="0.35">
      <c r="A11" t="s">
        <v>98</v>
      </c>
      <c r="B11" s="4">
        <v>0.34499999999999997</v>
      </c>
      <c r="C11" s="4">
        <v>176.3</v>
      </c>
      <c r="D11" s="12">
        <v>4.972654630379169E-3</v>
      </c>
      <c r="E11" s="4">
        <v>869</v>
      </c>
      <c r="F11">
        <v>87</v>
      </c>
      <c r="H11">
        <v>0.74199999999999999</v>
      </c>
      <c r="I11">
        <v>5324</v>
      </c>
    </row>
    <row r="12" spans="1:12" x14ac:dyDescent="0.35">
      <c r="A12" t="s">
        <v>62</v>
      </c>
      <c r="B12" s="4">
        <v>0.25800000000000001</v>
      </c>
      <c r="C12" s="4">
        <v>176.3</v>
      </c>
      <c r="D12" s="12">
        <v>4.972654630379169E-3</v>
      </c>
      <c r="E12" s="4">
        <v>335</v>
      </c>
      <c r="F12">
        <v>68.099999999999994</v>
      </c>
      <c r="G12">
        <v>5.2</v>
      </c>
      <c r="H12">
        <v>0.72599999999999998</v>
      </c>
      <c r="I12">
        <v>4309</v>
      </c>
    </row>
    <row r="13" spans="1:12" x14ac:dyDescent="0.35">
      <c r="A13" t="s">
        <v>53</v>
      </c>
      <c r="B13" s="4">
        <v>0.34899999999999998</v>
      </c>
      <c r="C13" s="4">
        <v>170.8</v>
      </c>
      <c r="D13" s="10">
        <v>4.817523601070686E-3</v>
      </c>
      <c r="E13" s="4">
        <v>379</v>
      </c>
      <c r="F13">
        <v>110</v>
      </c>
      <c r="G13">
        <v>2.2000000000000002</v>
      </c>
      <c r="H13">
        <v>0.77</v>
      </c>
      <c r="I13">
        <v>4587</v>
      </c>
    </row>
    <row r="14" spans="1:12" x14ac:dyDescent="0.35">
      <c r="A14" t="s">
        <v>71</v>
      </c>
      <c r="B14" s="4">
        <v>0.375</v>
      </c>
      <c r="C14" s="4">
        <v>167.2</v>
      </c>
      <c r="D14" s="10">
        <v>4.7159832909778607E-3</v>
      </c>
      <c r="E14" s="4">
        <v>248</v>
      </c>
      <c r="F14">
        <v>70.900000000000006</v>
      </c>
      <c r="G14">
        <v>4</v>
      </c>
      <c r="H14">
        <v>0.72199999999999998</v>
      </c>
      <c r="I14">
        <v>3897</v>
      </c>
    </row>
    <row r="15" spans="1:12" x14ac:dyDescent="0.35">
      <c r="A15" t="s">
        <v>56</v>
      </c>
      <c r="B15" s="4">
        <v>0.36599999999999999</v>
      </c>
      <c r="C15" s="4">
        <v>141.6</v>
      </c>
      <c r="D15" s="10">
        <v>3.9939188636511072E-3</v>
      </c>
      <c r="E15" s="4">
        <v>429</v>
      </c>
      <c r="F15">
        <v>59.6</v>
      </c>
      <c r="G15">
        <v>4.0999999999999996</v>
      </c>
      <c r="H15">
        <v>0.72399999999999998</v>
      </c>
      <c r="I15">
        <v>3911</v>
      </c>
    </row>
    <row r="16" spans="1:12" x14ac:dyDescent="0.35">
      <c r="A16" t="s">
        <v>69</v>
      </c>
      <c r="B16" s="4">
        <v>0.32600000000000001</v>
      </c>
      <c r="C16" s="4">
        <v>139.80000000000001</v>
      </c>
      <c r="D16" s="10">
        <v>3.9431487086046954E-3</v>
      </c>
      <c r="E16" s="4">
        <v>144</v>
      </c>
      <c r="F16">
        <v>78.7</v>
      </c>
      <c r="G16">
        <v>7.5</v>
      </c>
      <c r="H16">
        <v>0.72799999999999998</v>
      </c>
      <c r="I16">
        <v>3825</v>
      </c>
    </row>
    <row r="17" spans="1:9" x14ac:dyDescent="0.35">
      <c r="A17" t="s">
        <v>67</v>
      </c>
      <c r="B17" s="4">
        <v>0.372</v>
      </c>
      <c r="C17" s="4">
        <v>127.7</v>
      </c>
      <c r="D17" s="10">
        <v>3.6018604441260338E-3</v>
      </c>
      <c r="E17" s="4">
        <v>235</v>
      </c>
      <c r="F17">
        <v>57</v>
      </c>
      <c r="G17">
        <v>3.9</v>
      </c>
      <c r="H17">
        <v>0.70399999999999996</v>
      </c>
      <c r="I17">
        <v>4281</v>
      </c>
    </row>
    <row r="18" spans="1:9" x14ac:dyDescent="0.35">
      <c r="A18" t="s">
        <v>75</v>
      </c>
      <c r="B18" s="4">
        <v>0.20300000000000001</v>
      </c>
      <c r="C18" s="4">
        <v>106</v>
      </c>
      <c r="D18" s="10">
        <v>2.9897980193998403E-3</v>
      </c>
      <c r="E18" s="4">
        <v>158</v>
      </c>
      <c r="F18">
        <v>79.599999999999994</v>
      </c>
      <c r="G18">
        <v>2.8</v>
      </c>
      <c r="H18">
        <v>0.70299999999999996</v>
      </c>
      <c r="I18">
        <v>4307</v>
      </c>
    </row>
    <row r="19" spans="1:9" x14ac:dyDescent="0.35">
      <c r="A19" t="s">
        <v>36</v>
      </c>
      <c r="B19" s="4">
        <v>0.307</v>
      </c>
      <c r="C19" s="4">
        <v>100.9</v>
      </c>
      <c r="D19" s="10">
        <v>2.8459492467683388E-3</v>
      </c>
      <c r="E19" s="4">
        <v>969</v>
      </c>
      <c r="F19">
        <v>127.1</v>
      </c>
      <c r="G19">
        <v>1</v>
      </c>
      <c r="H19">
        <v>0.77800000000000002</v>
      </c>
      <c r="I19">
        <v>5194</v>
      </c>
    </row>
    <row r="20" spans="1:9" x14ac:dyDescent="0.35">
      <c r="A20" t="s">
        <v>51</v>
      </c>
      <c r="B20" s="4">
        <v>0.44600000000000001</v>
      </c>
      <c r="C20" s="4">
        <v>98</v>
      </c>
      <c r="D20" s="10">
        <v>2.7641528858602295E-3</v>
      </c>
      <c r="E20" s="4">
        <v>121</v>
      </c>
      <c r="F20">
        <v>86</v>
      </c>
      <c r="G20">
        <v>15.6</v>
      </c>
      <c r="H20">
        <v>0.68700000000000006</v>
      </c>
      <c r="I20">
        <v>2881</v>
      </c>
    </row>
    <row r="21" spans="1:9" x14ac:dyDescent="0.35">
      <c r="A21" t="s">
        <v>63</v>
      </c>
      <c r="B21" s="4">
        <v>0.36199999999999999</v>
      </c>
      <c r="C21" s="4">
        <v>71.900000000000006</v>
      </c>
      <c r="D21" s="10">
        <v>2.0279856376872502E-3</v>
      </c>
      <c r="E21" s="4">
        <v>207</v>
      </c>
      <c r="F21">
        <v>51.6</v>
      </c>
      <c r="G21">
        <v>6.2</v>
      </c>
      <c r="H21">
        <v>0.71099999999999997</v>
      </c>
      <c r="I21">
        <v>3629</v>
      </c>
    </row>
    <row r="22" spans="1:9" x14ac:dyDescent="0.35">
      <c r="A22" t="s">
        <v>92</v>
      </c>
      <c r="B22" s="4">
        <v>0.375</v>
      </c>
      <c r="C22" s="4">
        <v>66.900000000000006</v>
      </c>
      <c r="D22" s="10">
        <v>1.8869574292249937E-3</v>
      </c>
      <c r="E22" s="4">
        <v>545</v>
      </c>
      <c r="F22">
        <v>49</v>
      </c>
      <c r="G22">
        <v>3.9</v>
      </c>
      <c r="H22">
        <v>0.68300000000000005</v>
      </c>
      <c r="I22">
        <v>3840</v>
      </c>
    </row>
    <row r="23" spans="1:9" x14ac:dyDescent="0.35">
      <c r="A23" s="13" t="s">
        <v>85</v>
      </c>
      <c r="B23" s="14">
        <v>0.25600000000000001</v>
      </c>
      <c r="C23" s="14">
        <v>65</v>
      </c>
      <c r="D23" s="15">
        <v>1.8333667100093359E-3</v>
      </c>
      <c r="E23" s="14">
        <v>1025</v>
      </c>
      <c r="F23" s="13">
        <v>165.3</v>
      </c>
      <c r="G23" s="13">
        <v>0.1</v>
      </c>
      <c r="H23" s="13">
        <v>0.75600000000000001</v>
      </c>
      <c r="I23">
        <v>8076</v>
      </c>
    </row>
    <row r="24" spans="1:9" x14ac:dyDescent="0.35">
      <c r="A24" t="s">
        <v>81</v>
      </c>
      <c r="B24" s="4">
        <v>0.378</v>
      </c>
      <c r="C24" s="4">
        <v>55.8</v>
      </c>
      <c r="D24" s="10">
        <v>1.5738748064387837E-3</v>
      </c>
      <c r="E24" s="4">
        <v>136</v>
      </c>
      <c r="F24">
        <v>77.8</v>
      </c>
      <c r="G24">
        <v>3.6</v>
      </c>
      <c r="H24">
        <v>0.71499999999999997</v>
      </c>
      <c r="I24">
        <v>4428</v>
      </c>
    </row>
    <row r="25" spans="1:9" x14ac:dyDescent="0.35">
      <c r="A25" t="s">
        <v>91</v>
      </c>
      <c r="B25" s="4">
        <v>0.315</v>
      </c>
      <c r="C25" s="4">
        <v>55.4</v>
      </c>
      <c r="D25" s="10">
        <v>1.5625925497618032E-3</v>
      </c>
      <c r="E25" s="4">
        <v>698</v>
      </c>
      <c r="F25">
        <v>62.6</v>
      </c>
      <c r="G25">
        <v>2.2999999999999998</v>
      </c>
      <c r="H25">
        <v>0.69799999999999995</v>
      </c>
      <c r="I25">
        <v>4118</v>
      </c>
    </row>
    <row r="26" spans="1:9" x14ac:dyDescent="0.35">
      <c r="A26" t="s">
        <v>79</v>
      </c>
      <c r="B26" s="4">
        <v>0.40500000000000003</v>
      </c>
      <c r="C26" s="4">
        <v>51.6</v>
      </c>
      <c r="D26" s="10">
        <v>1.4554111113304882E-3</v>
      </c>
      <c r="E26" s="4">
        <v>147</v>
      </c>
      <c r="F26">
        <v>57.3</v>
      </c>
      <c r="G26">
        <v>8.1999999999999993</v>
      </c>
      <c r="H26">
        <v>0.68200000000000005</v>
      </c>
      <c r="I26">
        <v>3238</v>
      </c>
    </row>
    <row r="27" spans="1:9" x14ac:dyDescent="0.35">
      <c r="A27" t="s">
        <v>90</v>
      </c>
      <c r="B27" s="4">
        <v>0.32100000000000001</v>
      </c>
      <c r="C27" s="4">
        <v>48</v>
      </c>
      <c r="D27" s="10">
        <v>1.3538708012376635E-3</v>
      </c>
      <c r="E27" s="4">
        <v>386</v>
      </c>
      <c r="F27">
        <v>90.3</v>
      </c>
      <c r="G27">
        <v>2.2999999999999998</v>
      </c>
      <c r="H27">
        <v>0.72</v>
      </c>
      <c r="I27">
        <v>3865</v>
      </c>
    </row>
    <row r="28" spans="1:9" x14ac:dyDescent="0.35">
      <c r="A28" t="s">
        <v>94</v>
      </c>
      <c r="B28" s="4">
        <v>0.35199999999999998</v>
      </c>
      <c r="C28" s="4">
        <v>42</v>
      </c>
      <c r="D28" s="10">
        <v>1.1846369510829556E-3</v>
      </c>
      <c r="E28" s="4">
        <v>674</v>
      </c>
      <c r="F28">
        <v>68.900000000000006</v>
      </c>
      <c r="G28">
        <v>3.5</v>
      </c>
      <c r="H28">
        <v>0.71299999999999997</v>
      </c>
      <c r="I28">
        <v>3502</v>
      </c>
    </row>
    <row r="29" spans="1:9" x14ac:dyDescent="0.35">
      <c r="A29" t="s">
        <v>55</v>
      </c>
      <c r="B29" s="4">
        <v>0.31</v>
      </c>
      <c r="C29" s="4">
        <v>36.4</v>
      </c>
      <c r="D29" s="10">
        <v>1.026685357605228E-3</v>
      </c>
      <c r="E29" s="4">
        <v>485</v>
      </c>
      <c r="F29">
        <v>84.1</v>
      </c>
      <c r="G29">
        <v>2</v>
      </c>
      <c r="H29">
        <v>0.73699999999999999</v>
      </c>
      <c r="I29">
        <v>4297</v>
      </c>
    </row>
    <row r="30" spans="1:9" x14ac:dyDescent="0.35">
      <c r="A30" s="13" t="s">
        <v>37</v>
      </c>
      <c r="B30" s="14">
        <v>0.31</v>
      </c>
      <c r="C30" s="14">
        <v>33.299999999999997</v>
      </c>
      <c r="D30" s="15">
        <v>9.3924786835862897E-4</v>
      </c>
      <c r="E30" s="14">
        <v>1809</v>
      </c>
      <c r="F30" s="13">
        <v>169.1</v>
      </c>
      <c r="G30" s="13">
        <v>0.9</v>
      </c>
      <c r="H30" s="13">
        <v>0.77900000000000003</v>
      </c>
      <c r="I30">
        <v>5470</v>
      </c>
    </row>
    <row r="31" spans="1:9" x14ac:dyDescent="0.35">
      <c r="A31" t="s">
        <v>86</v>
      </c>
      <c r="B31" s="4">
        <v>0.33400000000000002</v>
      </c>
      <c r="C31" s="4">
        <v>32.6</v>
      </c>
      <c r="D31" s="10">
        <v>9.1950391917391321E-4</v>
      </c>
      <c r="E31" s="4">
        <v>555</v>
      </c>
      <c r="F31">
        <v>129.19999999999999</v>
      </c>
      <c r="G31">
        <v>0.7</v>
      </c>
      <c r="H31">
        <v>0.76600000000000001</v>
      </c>
      <c r="I31">
        <v>6346</v>
      </c>
    </row>
    <row r="32" spans="1:9" x14ac:dyDescent="0.35">
      <c r="A32" t="s">
        <v>102</v>
      </c>
      <c r="B32" s="4">
        <v>0.39700000000000002</v>
      </c>
      <c r="C32" s="4">
        <v>29.7</v>
      </c>
      <c r="D32" s="10">
        <v>8.3770755826580428E-4</v>
      </c>
      <c r="E32" s="4">
        <v>229</v>
      </c>
      <c r="F32">
        <v>61.1</v>
      </c>
      <c r="H32">
        <v>0.68700000000000006</v>
      </c>
      <c r="I32">
        <v>3768</v>
      </c>
    </row>
    <row r="33" spans="1:9" x14ac:dyDescent="0.35">
      <c r="A33" t="s">
        <v>78</v>
      </c>
      <c r="B33" s="4">
        <v>0.45500000000000002</v>
      </c>
      <c r="C33" s="4">
        <v>29</v>
      </c>
      <c r="D33" s="10">
        <v>8.1796360908108841E-4</v>
      </c>
      <c r="E33" s="4">
        <v>103</v>
      </c>
      <c r="F33">
        <v>53.3</v>
      </c>
      <c r="G33">
        <v>18.100000000000001</v>
      </c>
      <c r="H33">
        <v>0.66300000000000003</v>
      </c>
      <c r="I33">
        <v>2567</v>
      </c>
    </row>
    <row r="34" spans="1:9" x14ac:dyDescent="0.35">
      <c r="A34" t="s">
        <v>93</v>
      </c>
      <c r="B34" s="4">
        <v>0.432</v>
      </c>
      <c r="C34" s="4">
        <v>28.2</v>
      </c>
      <c r="D34" s="10">
        <v>7.9539909572712731E-4</v>
      </c>
      <c r="E34" s="4">
        <v>426</v>
      </c>
      <c r="F34">
        <v>71.8</v>
      </c>
      <c r="G34">
        <v>7</v>
      </c>
      <c r="H34">
        <v>0.69299999999999995</v>
      </c>
      <c r="I34">
        <v>3711</v>
      </c>
    </row>
    <row r="35" spans="1:9" x14ac:dyDescent="0.35">
      <c r="A35" t="s">
        <v>95</v>
      </c>
      <c r="B35" s="4">
        <v>0.28100000000000003</v>
      </c>
      <c r="C35" s="4">
        <v>23.8</v>
      </c>
      <c r="D35" s="10">
        <v>6.7129427228034152E-4</v>
      </c>
      <c r="E35" s="4">
        <v>473</v>
      </c>
      <c r="F35">
        <v>61.7</v>
      </c>
      <c r="G35">
        <v>3.1</v>
      </c>
      <c r="H35">
        <v>0.68899999999999995</v>
      </c>
      <c r="I35">
        <v>4547</v>
      </c>
    </row>
    <row r="36" spans="1:9" x14ac:dyDescent="0.35">
      <c r="A36" t="s">
        <v>41</v>
      </c>
      <c r="B36" s="4">
        <v>0.28499999999999998</v>
      </c>
      <c r="C36" s="4">
        <v>19.899999999999999</v>
      </c>
      <c r="D36" s="10">
        <v>5.6129226967978124E-4</v>
      </c>
      <c r="E36" s="4">
        <v>1388</v>
      </c>
      <c r="F36">
        <v>102.3</v>
      </c>
      <c r="G36">
        <v>1.7</v>
      </c>
      <c r="H36">
        <v>0.76800000000000002</v>
      </c>
      <c r="I36">
        <v>4747</v>
      </c>
    </row>
    <row r="37" spans="1:9" x14ac:dyDescent="0.35">
      <c r="A37" t="s">
        <v>100</v>
      </c>
      <c r="B37" s="4">
        <v>0.28000000000000003</v>
      </c>
      <c r="C37" s="4">
        <v>18.8</v>
      </c>
      <c r="D37" s="10">
        <v>5.3026606381808487E-4</v>
      </c>
      <c r="E37" s="4">
        <v>363</v>
      </c>
      <c r="F37">
        <v>55.1</v>
      </c>
      <c r="H37">
        <v>0.66800000000000004</v>
      </c>
      <c r="I37">
        <v>3651</v>
      </c>
    </row>
    <row r="38" spans="1:9" x14ac:dyDescent="0.35">
      <c r="A38" t="s">
        <v>44</v>
      </c>
      <c r="B38" s="4">
        <v>0.20699999999999999</v>
      </c>
      <c r="C38" s="4">
        <v>16.899999999999999</v>
      </c>
      <c r="D38" s="10">
        <v>4.7667534460242729E-4</v>
      </c>
      <c r="E38" s="4">
        <v>1125</v>
      </c>
      <c r="F38">
        <v>48.1</v>
      </c>
      <c r="G38">
        <v>1.4</v>
      </c>
      <c r="H38">
        <v>0.70799999999999996</v>
      </c>
      <c r="I38">
        <v>5100</v>
      </c>
    </row>
    <row r="39" spans="1:9" x14ac:dyDescent="0.35">
      <c r="A39" t="s">
        <v>96</v>
      </c>
      <c r="B39" s="4">
        <v>0.35599999999999998</v>
      </c>
      <c r="C39" s="4">
        <v>13.6</v>
      </c>
      <c r="D39" s="10">
        <v>3.8359672701733798E-4</v>
      </c>
      <c r="E39" s="4">
        <v>539</v>
      </c>
      <c r="F39">
        <v>52.4</v>
      </c>
      <c r="G39">
        <v>4.5999999999999996</v>
      </c>
      <c r="H39">
        <v>0.66300000000000003</v>
      </c>
      <c r="I39">
        <v>3646</v>
      </c>
    </row>
    <row r="40" spans="1:9" x14ac:dyDescent="0.35">
      <c r="A40" s="16" t="s">
        <v>59</v>
      </c>
      <c r="B40" s="4">
        <v>0.47399999999999998</v>
      </c>
      <c r="C40" s="4">
        <v>13.6</v>
      </c>
      <c r="D40" s="10">
        <v>3.8359672701733798E-4</v>
      </c>
      <c r="E40" s="4">
        <v>92</v>
      </c>
      <c r="F40">
        <v>49.6</v>
      </c>
      <c r="G40">
        <v>23.9</v>
      </c>
      <c r="H40">
        <v>0.64600000000000002</v>
      </c>
      <c r="I40">
        <v>2141</v>
      </c>
    </row>
    <row r="41" spans="1:9" x14ac:dyDescent="0.35">
      <c r="A41" t="s">
        <v>54</v>
      </c>
      <c r="B41" s="4">
        <v>0.40100000000000002</v>
      </c>
      <c r="C41" s="4">
        <v>13.5</v>
      </c>
      <c r="D41" s="10">
        <v>3.8077616284809285E-4</v>
      </c>
      <c r="E41" s="4">
        <v>97</v>
      </c>
      <c r="F41">
        <v>52.1</v>
      </c>
      <c r="G41">
        <v>7.9</v>
      </c>
      <c r="H41">
        <v>0.69199999999999995</v>
      </c>
      <c r="I41">
        <v>2701</v>
      </c>
    </row>
    <row r="42" spans="1:9" x14ac:dyDescent="0.35">
      <c r="A42" t="s">
        <v>42</v>
      </c>
      <c r="B42" s="4">
        <v>0.221</v>
      </c>
      <c r="C42" s="4">
        <v>13.4</v>
      </c>
      <c r="D42" s="10">
        <v>3.7795559867884773E-4</v>
      </c>
      <c r="E42" s="4">
        <v>1185</v>
      </c>
      <c r="F42">
        <v>57.7</v>
      </c>
      <c r="G42">
        <v>1.8</v>
      </c>
      <c r="H42">
        <v>0.73699999999999999</v>
      </c>
      <c r="I42">
        <v>4749</v>
      </c>
    </row>
    <row r="43" spans="1:9" x14ac:dyDescent="0.35">
      <c r="A43" t="s">
        <v>70</v>
      </c>
      <c r="B43" s="4">
        <v>0.36299999999999999</v>
      </c>
      <c r="C43" s="4">
        <v>11.9</v>
      </c>
      <c r="D43" s="10">
        <v>3.3564713614017076E-4</v>
      </c>
      <c r="E43" s="4">
        <v>242</v>
      </c>
      <c r="F43">
        <v>99.1</v>
      </c>
      <c r="G43">
        <v>6.6</v>
      </c>
      <c r="H43">
        <v>0.72399999999999998</v>
      </c>
      <c r="I43">
        <v>3717</v>
      </c>
    </row>
    <row r="44" spans="1:9" x14ac:dyDescent="0.35">
      <c r="A44" t="s">
        <v>66</v>
      </c>
      <c r="B44" s="4">
        <v>0.41199999999999998</v>
      </c>
      <c r="C44" s="4">
        <v>11.7</v>
      </c>
      <c r="D44" s="10">
        <v>3.3000600780168046E-4</v>
      </c>
      <c r="E44" s="4">
        <v>138</v>
      </c>
      <c r="F44">
        <v>65</v>
      </c>
      <c r="G44">
        <v>9.5</v>
      </c>
      <c r="H44">
        <v>0.69399999999999995</v>
      </c>
      <c r="I44">
        <v>3382</v>
      </c>
    </row>
    <row r="45" spans="1:9" x14ac:dyDescent="0.35">
      <c r="A45" t="s">
        <v>64</v>
      </c>
      <c r="B45" s="4">
        <v>0.36699999999999999</v>
      </c>
      <c r="C45" s="4">
        <v>11.5</v>
      </c>
      <c r="D45" s="10">
        <v>3.2436487946319021E-4</v>
      </c>
      <c r="E45" s="4">
        <v>221</v>
      </c>
      <c r="F45">
        <v>71.2</v>
      </c>
      <c r="G45">
        <v>3.8</v>
      </c>
      <c r="H45">
        <v>0.73</v>
      </c>
      <c r="I45">
        <v>3486</v>
      </c>
    </row>
    <row r="46" spans="1:9" x14ac:dyDescent="0.35">
      <c r="A46" t="s">
        <v>101</v>
      </c>
      <c r="B46" s="4">
        <v>0.23400000000000001</v>
      </c>
      <c r="C46" s="4">
        <v>10.7</v>
      </c>
      <c r="D46" s="10">
        <v>3.0180036610922916E-4</v>
      </c>
      <c r="E46" s="4">
        <v>346</v>
      </c>
      <c r="F46">
        <v>60.1</v>
      </c>
      <c r="H46">
        <v>0.67</v>
      </c>
      <c r="I46">
        <v>4305</v>
      </c>
    </row>
    <row r="47" spans="1:9" x14ac:dyDescent="0.35">
      <c r="A47" t="s">
        <v>43</v>
      </c>
      <c r="B47" s="4">
        <v>0.31900000000000001</v>
      </c>
      <c r="C47" s="4">
        <v>10.5</v>
      </c>
      <c r="D47" s="10">
        <v>2.9615923777073891E-4</v>
      </c>
      <c r="E47" s="4">
        <v>1019</v>
      </c>
      <c r="F47">
        <v>86.9</v>
      </c>
      <c r="G47">
        <v>2</v>
      </c>
      <c r="H47">
        <v>0.75900000000000001</v>
      </c>
      <c r="I47">
        <v>4745</v>
      </c>
    </row>
    <row r="48" spans="1:9" x14ac:dyDescent="0.35">
      <c r="A48" t="s">
        <v>72</v>
      </c>
      <c r="B48" s="4">
        <v>0.40899999999999997</v>
      </c>
      <c r="C48" s="4">
        <v>9.6999999999999993</v>
      </c>
      <c r="D48" s="10">
        <v>2.7359472441677781E-4</v>
      </c>
      <c r="E48" s="4">
        <v>174</v>
      </c>
      <c r="F48">
        <v>57.1</v>
      </c>
      <c r="G48">
        <v>6.5</v>
      </c>
      <c r="H48">
        <v>0.69899999999999995</v>
      </c>
      <c r="I48">
        <v>3475</v>
      </c>
    </row>
    <row r="49" spans="1:9" x14ac:dyDescent="0.35">
      <c r="A49" t="s">
        <v>74</v>
      </c>
      <c r="B49" s="4">
        <v>0.38300000000000001</v>
      </c>
      <c r="C49" s="4">
        <v>7.8</v>
      </c>
      <c r="D49" s="10">
        <v>2.2000400520112031E-4</v>
      </c>
      <c r="E49" s="4">
        <v>178</v>
      </c>
      <c r="F49">
        <v>77.3</v>
      </c>
      <c r="G49">
        <v>9.1</v>
      </c>
      <c r="H49">
        <v>0.68300000000000005</v>
      </c>
      <c r="I49">
        <v>3040</v>
      </c>
    </row>
    <row r="50" spans="1:9" x14ac:dyDescent="0.35">
      <c r="A50" t="s">
        <v>83</v>
      </c>
      <c r="B50" s="4">
        <v>0.32100000000000001</v>
      </c>
      <c r="C50" s="4">
        <v>7.4</v>
      </c>
      <c r="D50" s="10">
        <v>2.0872174852413979E-4</v>
      </c>
      <c r="E50" s="4">
        <v>151</v>
      </c>
      <c r="F50">
        <v>87.3</v>
      </c>
      <c r="G50">
        <v>2.2000000000000002</v>
      </c>
      <c r="H50">
        <v>0.70899999999999996</v>
      </c>
      <c r="I50">
        <v>4592</v>
      </c>
    </row>
    <row r="51" spans="1:9" x14ac:dyDescent="0.35">
      <c r="A51" t="s">
        <v>45</v>
      </c>
      <c r="B51" s="4">
        <v>0.313</v>
      </c>
      <c r="C51" s="4">
        <v>7.2</v>
      </c>
      <c r="D51" s="10">
        <v>2.0308062018564954E-4</v>
      </c>
      <c r="E51" s="4">
        <v>716</v>
      </c>
      <c r="F51">
        <v>79.599999999999994</v>
      </c>
      <c r="G51">
        <v>1.7</v>
      </c>
      <c r="H51">
        <v>0.746</v>
      </c>
      <c r="I51">
        <v>4893</v>
      </c>
    </row>
    <row r="52" spans="1:9" x14ac:dyDescent="0.35">
      <c r="A52" t="s">
        <v>80</v>
      </c>
      <c r="B52" s="4">
        <v>0.41399999999999998</v>
      </c>
      <c r="C52" s="4">
        <v>7</v>
      </c>
      <c r="D52" s="10">
        <v>1.9743949184715926E-4</v>
      </c>
      <c r="E52" s="4">
        <v>103</v>
      </c>
      <c r="F52">
        <v>59.4</v>
      </c>
      <c r="G52">
        <v>9.6999999999999993</v>
      </c>
      <c r="H52">
        <v>0.68400000000000005</v>
      </c>
      <c r="I52">
        <v>3183</v>
      </c>
    </row>
    <row r="53" spans="1:9" x14ac:dyDescent="0.35">
      <c r="A53" t="s">
        <v>84</v>
      </c>
      <c r="B53" s="4">
        <v>0.32600000000000001</v>
      </c>
      <c r="C53" s="4">
        <v>6.6</v>
      </c>
      <c r="D53" s="10">
        <v>1.8615723517017871E-4</v>
      </c>
      <c r="E53" s="4">
        <v>294</v>
      </c>
      <c r="F53">
        <v>86.6</v>
      </c>
      <c r="G53">
        <v>1.2</v>
      </c>
      <c r="H53">
        <v>0.70299999999999996</v>
      </c>
      <c r="I53">
        <v>4617</v>
      </c>
    </row>
    <row r="54" spans="1:9" x14ac:dyDescent="0.35">
      <c r="A54" t="s">
        <v>39</v>
      </c>
      <c r="B54" s="4">
        <v>0.32200000000000001</v>
      </c>
      <c r="C54" s="4">
        <v>5.6</v>
      </c>
      <c r="D54" s="10">
        <v>1.5795159347772739E-4</v>
      </c>
      <c r="E54" s="4">
        <v>1167</v>
      </c>
      <c r="F54">
        <v>87.5</v>
      </c>
      <c r="G54">
        <v>1.1000000000000001</v>
      </c>
      <c r="H54">
        <v>0.76</v>
      </c>
      <c r="I54">
        <v>4936</v>
      </c>
    </row>
    <row r="55" spans="1:9" x14ac:dyDescent="0.35">
      <c r="A55" s="16" t="s">
        <v>48</v>
      </c>
      <c r="B55" s="4">
        <v>0.52500000000000002</v>
      </c>
      <c r="C55" s="4">
        <v>5</v>
      </c>
      <c r="D55" s="10">
        <v>1.4102820846225662E-4</v>
      </c>
      <c r="E55" s="4">
        <v>81</v>
      </c>
      <c r="F55">
        <v>38.700000000000003</v>
      </c>
      <c r="G55">
        <v>23.6</v>
      </c>
      <c r="H55">
        <v>0.65900000000000003</v>
      </c>
      <c r="I55">
        <v>2355</v>
      </c>
    </row>
    <row r="56" spans="1:9" x14ac:dyDescent="0.35">
      <c r="A56" s="16" t="s">
        <v>47</v>
      </c>
      <c r="B56" s="4">
        <v>0.46500000000000002</v>
      </c>
      <c r="C56" s="4">
        <v>4.8</v>
      </c>
      <c r="D56" s="10">
        <v>1.3538708012376634E-4</v>
      </c>
      <c r="E56" s="4">
        <v>113</v>
      </c>
      <c r="F56">
        <v>33.700000000000003</v>
      </c>
      <c r="G56">
        <v>31.6</v>
      </c>
      <c r="H56">
        <v>0.60299999999999998</v>
      </c>
      <c r="I56">
        <v>2062</v>
      </c>
    </row>
    <row r="57" spans="1:9" x14ac:dyDescent="0.35">
      <c r="A57" s="16" t="s">
        <v>58</v>
      </c>
      <c r="B57" s="4">
        <v>0.496</v>
      </c>
      <c r="C57" s="4">
        <v>4.5</v>
      </c>
      <c r="D57" s="10">
        <v>1.2692538761603094E-4</v>
      </c>
      <c r="E57" s="4">
        <v>53</v>
      </c>
      <c r="F57">
        <v>50.2</v>
      </c>
      <c r="G57">
        <v>30.3</v>
      </c>
      <c r="H57">
        <v>0.6</v>
      </c>
      <c r="I57">
        <v>2212</v>
      </c>
    </row>
    <row r="58" spans="1:9" x14ac:dyDescent="0.35">
      <c r="A58" t="s">
        <v>50</v>
      </c>
      <c r="B58" s="4">
        <v>0.34799999999999998</v>
      </c>
      <c r="C58" s="4">
        <v>2.6</v>
      </c>
      <c r="D58" s="10">
        <v>7.3334668400373447E-5</v>
      </c>
      <c r="E58" s="4">
        <v>137</v>
      </c>
      <c r="F58">
        <v>50.6</v>
      </c>
      <c r="G58">
        <v>10.3</v>
      </c>
      <c r="H58">
        <v>0.69599999999999995</v>
      </c>
      <c r="I58">
        <v>3142</v>
      </c>
    </row>
    <row r="59" spans="1:9" x14ac:dyDescent="0.35">
      <c r="A59" t="s">
        <v>77</v>
      </c>
      <c r="B59" s="4">
        <v>0.33600000000000002</v>
      </c>
      <c r="C59" s="4">
        <v>1.9</v>
      </c>
      <c r="D59" s="10">
        <v>5.3590719215657509E-5</v>
      </c>
      <c r="E59" s="4">
        <v>60</v>
      </c>
      <c r="F59">
        <v>54</v>
      </c>
      <c r="G59">
        <v>19.3</v>
      </c>
      <c r="H59">
        <v>0.65800000000000003</v>
      </c>
      <c r="I59">
        <v>2927</v>
      </c>
    </row>
    <row r="60" spans="1:9" x14ac:dyDescent="0.35">
      <c r="A60" t="s">
        <v>52</v>
      </c>
      <c r="B60" s="4">
        <v>0.40799999999999997</v>
      </c>
      <c r="C60" s="4">
        <v>1.7</v>
      </c>
      <c r="D60" s="10">
        <v>4.7949590877167247E-5</v>
      </c>
      <c r="E60" s="4">
        <v>123</v>
      </c>
      <c r="F60">
        <v>47.9</v>
      </c>
      <c r="G60">
        <v>16.600000000000001</v>
      </c>
      <c r="H60">
        <v>0.65900000000000003</v>
      </c>
      <c r="I60">
        <v>2846</v>
      </c>
    </row>
    <row r="61" spans="1:9" x14ac:dyDescent="0.35">
      <c r="A61" s="16" t="s">
        <v>57</v>
      </c>
      <c r="B61" s="4">
        <v>0.501</v>
      </c>
      <c r="C61" s="4">
        <v>1</v>
      </c>
      <c r="D61" s="10">
        <v>2.8205641692451324E-5</v>
      </c>
      <c r="E61" s="4">
        <v>67</v>
      </c>
      <c r="F61">
        <v>39.6</v>
      </c>
      <c r="G61">
        <v>33.6</v>
      </c>
      <c r="H61">
        <v>0.61799999999999999</v>
      </c>
      <c r="I61">
        <v>2080</v>
      </c>
    </row>
    <row r="62" spans="1:9" x14ac:dyDescent="0.35">
      <c r="A62" t="s">
        <v>49</v>
      </c>
      <c r="B62" s="4">
        <v>0.45300000000000001</v>
      </c>
      <c r="C62" s="4">
        <v>0.8</v>
      </c>
      <c r="D62" s="10">
        <v>2.2564513353961058E-5</v>
      </c>
      <c r="E62" s="4">
        <v>67</v>
      </c>
      <c r="F62">
        <v>46.8</v>
      </c>
      <c r="G62">
        <v>20.100000000000001</v>
      </c>
      <c r="H62">
        <v>0.68899999999999995</v>
      </c>
      <c r="I62">
        <v>2342</v>
      </c>
    </row>
    <row r="63" spans="1:9" x14ac:dyDescent="0.35">
      <c r="A63" t="s">
        <v>60</v>
      </c>
      <c r="B63" s="4">
        <v>0.36</v>
      </c>
      <c r="C63" s="4">
        <v>0</v>
      </c>
      <c r="D63" s="10">
        <v>0</v>
      </c>
      <c r="E63" s="4">
        <v>191</v>
      </c>
      <c r="F63">
        <v>66.8</v>
      </c>
      <c r="G63">
        <v>7.9</v>
      </c>
      <c r="H63">
        <v>0.72899999999999998</v>
      </c>
      <c r="I63">
        <v>3143</v>
      </c>
    </row>
    <row r="64" spans="1:9" x14ac:dyDescent="0.35">
      <c r="A64" t="s">
        <v>99</v>
      </c>
      <c r="B64" s="4">
        <v>0.34</v>
      </c>
      <c r="D64" s="10">
        <v>0</v>
      </c>
      <c r="E64" s="4">
        <v>450</v>
      </c>
      <c r="F64">
        <v>66.3</v>
      </c>
      <c r="H64">
        <v>0.69299999999999995</v>
      </c>
      <c r="I64">
        <v>4185</v>
      </c>
    </row>
    <row r="65" spans="3:4" x14ac:dyDescent="0.35">
      <c r="C65" s="6"/>
      <c r="D65" s="5"/>
    </row>
  </sheetData>
  <autoFilter ref="A1:I64" xr:uid="{944F27F9-CF83-40DA-B247-DD4965364F28}">
    <sortState xmlns:xlrd2="http://schemas.microsoft.com/office/spreadsheetml/2017/richdata2" ref="A2:I64">
      <sortCondition descending="1" ref="C1:C64"/>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06E2-0DF9-454D-BAA4-EA361083DB92}">
  <dimension ref="A1:X15"/>
  <sheetViews>
    <sheetView tabSelected="1" workbookViewId="0">
      <pane xSplit="1" topLeftCell="B1" activePane="topRight" state="frozen"/>
      <selection pane="topRight" activeCell="P1" sqref="P1"/>
    </sheetView>
  </sheetViews>
  <sheetFormatPr defaultRowHeight="14.5" x14ac:dyDescent="0.35"/>
  <cols>
    <col min="1" max="1" width="27.26953125" customWidth="1"/>
  </cols>
  <sheetData>
    <row r="1" spans="1:24" x14ac:dyDescent="0.35">
      <c r="A1" t="s">
        <v>32</v>
      </c>
      <c r="B1">
        <v>2000</v>
      </c>
      <c r="C1">
        <v>2001</v>
      </c>
      <c r="D1">
        <v>2002</v>
      </c>
      <c r="E1">
        <v>2003</v>
      </c>
      <c r="F1">
        <v>2004</v>
      </c>
      <c r="G1">
        <v>2005</v>
      </c>
      <c r="H1">
        <v>2006</v>
      </c>
      <c r="I1">
        <v>2007</v>
      </c>
      <c r="J1">
        <v>2008</v>
      </c>
      <c r="K1">
        <v>2009</v>
      </c>
      <c r="L1">
        <v>2010</v>
      </c>
      <c r="M1">
        <v>2011</v>
      </c>
      <c r="N1">
        <v>2012</v>
      </c>
      <c r="O1">
        <v>2013</v>
      </c>
      <c r="P1">
        <v>2014</v>
      </c>
      <c r="Q1">
        <v>2015</v>
      </c>
      <c r="R1">
        <v>2016</v>
      </c>
      <c r="S1">
        <v>2017</v>
      </c>
      <c r="T1">
        <v>2018</v>
      </c>
      <c r="U1">
        <v>2019</v>
      </c>
      <c r="V1">
        <v>2020</v>
      </c>
      <c r="W1">
        <v>2021</v>
      </c>
      <c r="X1">
        <v>2022</v>
      </c>
    </row>
    <row r="2" spans="1:24" x14ac:dyDescent="0.35">
      <c r="A2" t="s">
        <v>174</v>
      </c>
      <c r="B2">
        <v>3268.5</v>
      </c>
      <c r="C2">
        <v>3860.4</v>
      </c>
      <c r="D2">
        <v>5425.5</v>
      </c>
      <c r="E2">
        <v>6016.6</v>
      </c>
      <c r="F2">
        <v>7432.4</v>
      </c>
      <c r="G2">
        <v>9932.1</v>
      </c>
      <c r="H2">
        <v>11427.3</v>
      </c>
      <c r="I2">
        <v>14568.1</v>
      </c>
      <c r="J2">
        <v>18335.8</v>
      </c>
      <c r="K2">
        <v>23780.799999999999</v>
      </c>
      <c r="L2">
        <v>28907.8</v>
      </c>
      <c r="M2">
        <v>34097.800000000003</v>
      </c>
      <c r="N2">
        <v>37439.599999999999</v>
      </c>
      <c r="O2">
        <v>34822.1</v>
      </c>
      <c r="P2">
        <v>39047.5</v>
      </c>
      <c r="Q2">
        <v>44711.5</v>
      </c>
      <c r="R2">
        <v>48524.6</v>
      </c>
      <c r="S2">
        <v>54383.3</v>
      </c>
      <c r="T2">
        <v>59202.2</v>
      </c>
      <c r="U2">
        <v>67019.3</v>
      </c>
      <c r="V2">
        <v>38604.6</v>
      </c>
      <c r="W2">
        <v>23690.400000000001</v>
      </c>
      <c r="X2">
        <v>57789.3</v>
      </c>
    </row>
    <row r="3" spans="1:24" x14ac:dyDescent="0.35">
      <c r="A3" t="s">
        <v>128</v>
      </c>
      <c r="B3">
        <v>1190</v>
      </c>
      <c r="C3">
        <v>2009</v>
      </c>
      <c r="D3">
        <v>2430.4</v>
      </c>
      <c r="E3">
        <v>2633.2</v>
      </c>
      <c r="F3">
        <v>3302.1</v>
      </c>
      <c r="G3">
        <v>4761.2</v>
      </c>
      <c r="H3">
        <v>5304.7</v>
      </c>
      <c r="I3">
        <v>7712</v>
      </c>
      <c r="J3">
        <v>8409.6</v>
      </c>
      <c r="K3">
        <v>10278.4</v>
      </c>
      <c r="L3">
        <v>15539.3</v>
      </c>
      <c r="M3">
        <v>18091.599999999999</v>
      </c>
      <c r="N3">
        <v>18852.900000000001</v>
      </c>
      <c r="O3">
        <v>24820.6</v>
      </c>
      <c r="P3">
        <v>27799.4</v>
      </c>
      <c r="Q3">
        <v>30444.1</v>
      </c>
      <c r="R3">
        <v>32530.3</v>
      </c>
      <c r="S3">
        <v>36111.800000000003</v>
      </c>
      <c r="T3">
        <v>40371.199999999997</v>
      </c>
      <c r="U3">
        <v>44669.9</v>
      </c>
      <c r="V3">
        <v>16492</v>
      </c>
      <c r="W3">
        <v>8998.7999999999993</v>
      </c>
      <c r="X3">
        <v>35453.4</v>
      </c>
    </row>
    <row r="4" spans="1:24" x14ac:dyDescent="0.35">
      <c r="A4" t="s">
        <v>148</v>
      </c>
      <c r="B4">
        <v>7674</v>
      </c>
      <c r="C4">
        <v>9982</v>
      </c>
      <c r="D4">
        <v>14676.4</v>
      </c>
      <c r="E4">
        <v>16497</v>
      </c>
      <c r="F4">
        <v>18426</v>
      </c>
      <c r="G4">
        <v>21578.5</v>
      </c>
      <c r="H4">
        <v>22263.200000000001</v>
      </c>
      <c r="I4">
        <v>27023.1</v>
      </c>
      <c r="J4">
        <v>33618.6</v>
      </c>
      <c r="K4">
        <v>46728.1</v>
      </c>
      <c r="L4">
        <v>57897.3</v>
      </c>
      <c r="M4">
        <v>61405.4</v>
      </c>
      <c r="N4">
        <v>70085.399999999994</v>
      </c>
      <c r="O4">
        <v>77863.8</v>
      </c>
      <c r="P4">
        <v>90571.6</v>
      </c>
      <c r="Q4">
        <v>102200</v>
      </c>
      <c r="R4">
        <v>117037.8</v>
      </c>
      <c r="S4">
        <v>132837.9</v>
      </c>
      <c r="T4">
        <v>144683.1</v>
      </c>
      <c r="U4">
        <v>162046.6</v>
      </c>
      <c r="V4">
        <v>78083.8</v>
      </c>
      <c r="W4">
        <v>60453.2</v>
      </c>
      <c r="X4">
        <v>124641.1</v>
      </c>
    </row>
    <row r="5" spans="1:24" x14ac:dyDescent="0.35">
      <c r="A5" t="s">
        <v>149</v>
      </c>
      <c r="B5">
        <v>2656</v>
      </c>
      <c r="C5">
        <v>4110</v>
      </c>
      <c r="D5">
        <v>4934.2</v>
      </c>
      <c r="E5">
        <v>4187.2</v>
      </c>
      <c r="F5">
        <v>5676.2</v>
      </c>
      <c r="G5">
        <v>5326.6</v>
      </c>
      <c r="H5">
        <v>5844.1</v>
      </c>
      <c r="I5">
        <v>8035.8</v>
      </c>
      <c r="J5">
        <v>6733.3</v>
      </c>
      <c r="K5">
        <v>7595.3</v>
      </c>
      <c r="L5">
        <v>8637.9</v>
      </c>
      <c r="M5">
        <v>9810.9</v>
      </c>
      <c r="N5">
        <v>9594.6</v>
      </c>
      <c r="O5">
        <v>9569.1</v>
      </c>
      <c r="P5">
        <v>9869.9</v>
      </c>
      <c r="Q5">
        <v>11811</v>
      </c>
      <c r="R5">
        <v>12697.4</v>
      </c>
      <c r="S5">
        <v>13747.3</v>
      </c>
      <c r="T5">
        <v>14957.5</v>
      </c>
      <c r="U5">
        <v>17318.900000000001</v>
      </c>
      <c r="V5">
        <v>7213.9</v>
      </c>
      <c r="W5">
        <v>3149.5</v>
      </c>
      <c r="X5">
        <v>10791.2</v>
      </c>
    </row>
    <row r="6" spans="1:24" x14ac:dyDescent="0.35">
      <c r="A6" t="s">
        <v>150</v>
      </c>
      <c r="B6">
        <v>2397.8000000000002</v>
      </c>
      <c r="C6">
        <v>3113.4</v>
      </c>
      <c r="D6">
        <v>4669.8999999999996</v>
      </c>
      <c r="E6">
        <v>3976.2</v>
      </c>
      <c r="F6">
        <v>5155.2</v>
      </c>
      <c r="G6">
        <v>5433.9</v>
      </c>
      <c r="H6">
        <v>4897</v>
      </c>
      <c r="I6">
        <v>4804.3</v>
      </c>
      <c r="J6">
        <v>4997.3</v>
      </c>
      <c r="K6">
        <v>8074.2</v>
      </c>
      <c r="L6">
        <v>8234.2000000000007</v>
      </c>
      <c r="M6">
        <v>8967.2000000000007</v>
      </c>
      <c r="N6">
        <v>8998.2999999999993</v>
      </c>
      <c r="O6">
        <v>9645.9</v>
      </c>
      <c r="P6">
        <v>11305.9</v>
      </c>
      <c r="Q6">
        <v>12601.7</v>
      </c>
      <c r="R6">
        <v>13651</v>
      </c>
      <c r="S6">
        <v>15173</v>
      </c>
      <c r="T6">
        <v>16966</v>
      </c>
      <c r="U6">
        <v>18366.3</v>
      </c>
      <c r="V6">
        <v>8397.7999999999993</v>
      </c>
      <c r="W6">
        <v>3565.3</v>
      </c>
      <c r="X6">
        <v>10080.9</v>
      </c>
    </row>
    <row r="7" spans="1:24" x14ac:dyDescent="0.35">
      <c r="A7" t="s">
        <v>151</v>
      </c>
      <c r="L7">
        <v>1387</v>
      </c>
      <c r="M7">
        <v>2000</v>
      </c>
      <c r="N7">
        <v>2637</v>
      </c>
      <c r="P7">
        <v>3098</v>
      </c>
      <c r="R7">
        <v>3876</v>
      </c>
      <c r="T7">
        <v>3876</v>
      </c>
      <c r="U7">
        <v>4295</v>
      </c>
      <c r="V7">
        <v>4249</v>
      </c>
      <c r="W7">
        <v>4205</v>
      </c>
      <c r="X7">
        <v>4673</v>
      </c>
    </row>
    <row r="8" spans="1:24" x14ac:dyDescent="0.35">
      <c r="A8" s="3" t="s">
        <v>126</v>
      </c>
      <c r="R8">
        <v>9.1999999999999993</v>
      </c>
      <c r="S8">
        <v>7.9</v>
      </c>
      <c r="T8">
        <v>6.8</v>
      </c>
      <c r="U8">
        <v>5.7</v>
      </c>
      <c r="V8">
        <v>4.8</v>
      </c>
      <c r="W8">
        <v>4.4000000000000004</v>
      </c>
      <c r="X8">
        <v>4.2</v>
      </c>
    </row>
    <row r="9" spans="1:24" x14ac:dyDescent="0.35">
      <c r="A9" t="s">
        <v>152</v>
      </c>
      <c r="B9">
        <v>5689</v>
      </c>
      <c r="C9">
        <v>6117</v>
      </c>
      <c r="D9">
        <v>6720</v>
      </c>
      <c r="K9">
        <v>19278</v>
      </c>
      <c r="L9">
        <v>31468.1</v>
      </c>
      <c r="M9">
        <v>40159.4</v>
      </c>
      <c r="N9">
        <v>45668.5</v>
      </c>
      <c r="O9">
        <v>49601.8</v>
      </c>
      <c r="P9">
        <v>54131.9</v>
      </c>
      <c r="Q9">
        <v>56287.6</v>
      </c>
      <c r="R9">
        <v>60475.7</v>
      </c>
      <c r="S9">
        <v>66.753399999999999</v>
      </c>
      <c r="T9">
        <v>73481.5</v>
      </c>
      <c r="U9">
        <v>79.900000000000006</v>
      </c>
      <c r="V9">
        <v>82.4</v>
      </c>
      <c r="W9">
        <v>86.2</v>
      </c>
      <c r="X9">
        <v>96</v>
      </c>
    </row>
    <row r="10" spans="1:24" x14ac:dyDescent="0.35">
      <c r="A10" t="s">
        <v>130</v>
      </c>
      <c r="T10">
        <v>0.42499999999999999</v>
      </c>
      <c r="U10">
        <v>0.42299999999999999</v>
      </c>
      <c r="V10">
        <v>0.373</v>
      </c>
      <c r="W10">
        <v>0.374</v>
      </c>
    </row>
    <row r="11" spans="1:24" x14ac:dyDescent="0.35">
      <c r="A11" t="s">
        <v>153</v>
      </c>
      <c r="K11">
        <v>5.4</v>
      </c>
      <c r="L11">
        <v>6.4</v>
      </c>
      <c r="M11">
        <v>5.5</v>
      </c>
      <c r="N11">
        <v>5.5</v>
      </c>
      <c r="O11">
        <v>5.6</v>
      </c>
      <c r="P11">
        <v>6.4</v>
      </c>
      <c r="Q11" s="1">
        <v>7</v>
      </c>
      <c r="R11" s="1">
        <v>6.7</v>
      </c>
      <c r="S11" s="1">
        <v>6.9</v>
      </c>
      <c r="T11" s="1">
        <v>7.5</v>
      </c>
      <c r="U11" s="1">
        <v>7.4</v>
      </c>
      <c r="V11" s="1">
        <v>2.9</v>
      </c>
      <c r="W11" s="1">
        <v>2.6</v>
      </c>
      <c r="X11" s="1">
        <v>8.1</v>
      </c>
    </row>
    <row r="12" spans="1:24" x14ac:dyDescent="0.35">
      <c r="A12" t="s">
        <v>154</v>
      </c>
      <c r="Q12">
        <v>6.3</v>
      </c>
      <c r="R12">
        <v>6.9</v>
      </c>
      <c r="S12">
        <v>7.9</v>
      </c>
      <c r="T12">
        <v>8.3000000000000007</v>
      </c>
      <c r="U12">
        <v>9.1999999999999993</v>
      </c>
      <c r="V12">
        <v>3.58</v>
      </c>
      <c r="W12">
        <v>1.97</v>
      </c>
    </row>
    <row r="13" spans="1:24" x14ac:dyDescent="0.35">
      <c r="A13" t="s">
        <v>157</v>
      </c>
      <c r="B13" s="17">
        <v>5590374.88344156</v>
      </c>
      <c r="C13" s="17">
        <v>6029922.3818273004</v>
      </c>
      <c r="D13" s="17">
        <v>6643683.85884987</v>
      </c>
      <c r="E13" s="17">
        <v>7529141.3127759099</v>
      </c>
      <c r="F13" s="17">
        <v>8690272.5918543302</v>
      </c>
      <c r="G13" s="17">
        <v>10993239.946623901</v>
      </c>
      <c r="H13" s="17">
        <v>12644934.3551895</v>
      </c>
      <c r="I13" s="17">
        <v>14709009.264487701</v>
      </c>
      <c r="J13" s="17">
        <v>18879662.254534598</v>
      </c>
      <c r="K13" s="17">
        <v>20919147.240201399</v>
      </c>
      <c r="L13" s="17">
        <v>31344370.775618099</v>
      </c>
      <c r="M13" s="17">
        <v>40066968.750802599</v>
      </c>
      <c r="N13" s="17">
        <v>45618161.257762298</v>
      </c>
      <c r="O13" s="17">
        <v>49559849.948163703</v>
      </c>
      <c r="P13" s="17">
        <v>54113053.181577198</v>
      </c>
      <c r="Q13" s="17">
        <v>56310283.200174503</v>
      </c>
      <c r="R13" s="17">
        <v>60556331.9126819</v>
      </c>
      <c r="S13" s="17">
        <v>66932899.484445103</v>
      </c>
      <c r="T13" s="17">
        <v>73845984.3734871</v>
      </c>
      <c r="U13" s="17">
        <v>80470500.679935604</v>
      </c>
      <c r="V13" s="17">
        <v>83233266.236369401</v>
      </c>
      <c r="W13" s="17">
        <v>87079585.860918596</v>
      </c>
      <c r="X13" s="17">
        <v>97250671.413697198</v>
      </c>
    </row>
    <row r="14" spans="1:24" x14ac:dyDescent="0.35">
      <c r="D14" s="17">
        <f>D13/1000</f>
        <v>6643.6838588498704</v>
      </c>
      <c r="E14" s="17">
        <f t="shared" ref="E14:X14" si="0">E13/1000</f>
        <v>7529.1413127759097</v>
      </c>
      <c r="F14" s="17">
        <f t="shared" si="0"/>
        <v>8690.272591854331</v>
      </c>
      <c r="G14" s="17">
        <f t="shared" si="0"/>
        <v>10993.2399466239</v>
      </c>
      <c r="H14" s="17">
        <f t="shared" si="0"/>
        <v>12644.9343551895</v>
      </c>
      <c r="I14" s="17">
        <f t="shared" si="0"/>
        <v>14709.0092644877</v>
      </c>
      <c r="J14" s="17">
        <f t="shared" si="0"/>
        <v>18879.6622545346</v>
      </c>
      <c r="K14" s="17">
        <f t="shared" si="0"/>
        <v>20919.147240201397</v>
      </c>
      <c r="L14" s="17">
        <f t="shared" si="0"/>
        <v>31344.370775618099</v>
      </c>
      <c r="M14" s="17">
        <f t="shared" si="0"/>
        <v>40066.968750802596</v>
      </c>
      <c r="N14" s="17">
        <f t="shared" si="0"/>
        <v>45618.161257762295</v>
      </c>
      <c r="O14" s="17">
        <f t="shared" si="0"/>
        <v>49559.849948163705</v>
      </c>
      <c r="P14" s="17">
        <f t="shared" si="0"/>
        <v>54113.053181577197</v>
      </c>
      <c r="Q14" s="17">
        <f t="shared" si="0"/>
        <v>56310.283200174505</v>
      </c>
      <c r="R14" s="17">
        <f t="shared" si="0"/>
        <v>60556.331912681897</v>
      </c>
      <c r="S14" s="17">
        <f t="shared" si="0"/>
        <v>66932.899484445108</v>
      </c>
      <c r="T14" s="17">
        <f t="shared" si="0"/>
        <v>73845.984373487096</v>
      </c>
      <c r="U14" s="17">
        <f t="shared" si="0"/>
        <v>80470.500679935605</v>
      </c>
      <c r="V14" s="17">
        <f t="shared" si="0"/>
        <v>83233.266236369396</v>
      </c>
      <c r="W14" s="17">
        <f t="shared" si="0"/>
        <v>87079.585860918596</v>
      </c>
      <c r="X14" s="17">
        <f t="shared" si="0"/>
        <v>97250.6714136972</v>
      </c>
    </row>
    <row r="15" spans="1:24" x14ac:dyDescent="0.35">
      <c r="A15" s="3"/>
      <c r="B15" s="3"/>
      <c r="C15" s="3"/>
      <c r="D15" s="3"/>
      <c r="E15" s="3"/>
      <c r="F15" s="3"/>
      <c r="G15" s="3"/>
      <c r="H15"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2BE4-A282-4FED-9109-CFBFA9CB7996}">
  <dimension ref="A1:C64"/>
  <sheetViews>
    <sheetView zoomScale="94" workbookViewId="0">
      <selection activeCell="B2" sqref="B2"/>
    </sheetView>
  </sheetViews>
  <sheetFormatPr defaultRowHeight="14.5" x14ac:dyDescent="0.35"/>
  <cols>
    <col min="1" max="1" width="27" customWidth="1"/>
    <col min="2" max="2" width="25.1796875" customWidth="1"/>
  </cols>
  <sheetData>
    <row r="1" spans="1:3" s="3" customFormat="1" x14ac:dyDescent="0.35">
      <c r="A1" s="3" t="s">
        <v>131</v>
      </c>
      <c r="B1" s="3" t="s">
        <v>152</v>
      </c>
      <c r="C1" s="3" t="s">
        <v>126</v>
      </c>
    </row>
    <row r="2" spans="1:3" x14ac:dyDescent="0.35">
      <c r="A2" s="16" t="s">
        <v>47</v>
      </c>
      <c r="B2">
        <v>33.700000000000003</v>
      </c>
      <c r="C2">
        <v>31.6</v>
      </c>
    </row>
    <row r="3" spans="1:3" x14ac:dyDescent="0.35">
      <c r="A3" s="16" t="s">
        <v>48</v>
      </c>
      <c r="B3">
        <v>38.700000000000003</v>
      </c>
      <c r="C3">
        <v>23.6</v>
      </c>
    </row>
    <row r="4" spans="1:3" x14ac:dyDescent="0.35">
      <c r="A4" s="16" t="s">
        <v>57</v>
      </c>
      <c r="B4">
        <v>39.6</v>
      </c>
      <c r="C4">
        <v>33.6</v>
      </c>
    </row>
    <row r="5" spans="1:3" x14ac:dyDescent="0.35">
      <c r="A5" t="s">
        <v>49</v>
      </c>
      <c r="B5">
        <v>46.8</v>
      </c>
      <c r="C5">
        <v>20.100000000000001</v>
      </c>
    </row>
    <row r="6" spans="1:3" x14ac:dyDescent="0.35">
      <c r="A6" t="s">
        <v>52</v>
      </c>
      <c r="B6">
        <v>47.9</v>
      </c>
      <c r="C6">
        <v>16.600000000000001</v>
      </c>
    </row>
    <row r="7" spans="1:3" x14ac:dyDescent="0.35">
      <c r="A7" t="s">
        <v>44</v>
      </c>
      <c r="B7">
        <v>48.1</v>
      </c>
      <c r="C7">
        <v>1.4</v>
      </c>
    </row>
    <row r="8" spans="1:3" x14ac:dyDescent="0.35">
      <c r="A8" t="s">
        <v>92</v>
      </c>
      <c r="B8">
        <v>49</v>
      </c>
      <c r="C8">
        <v>3.9</v>
      </c>
    </row>
    <row r="9" spans="1:3" x14ac:dyDescent="0.35">
      <c r="A9" s="16" t="s">
        <v>59</v>
      </c>
      <c r="B9">
        <v>49.6</v>
      </c>
      <c r="C9">
        <v>23.9</v>
      </c>
    </row>
    <row r="10" spans="1:3" x14ac:dyDescent="0.35">
      <c r="A10" s="16" t="s">
        <v>58</v>
      </c>
      <c r="B10">
        <v>50.2</v>
      </c>
      <c r="C10">
        <v>30.3</v>
      </c>
    </row>
    <row r="11" spans="1:3" x14ac:dyDescent="0.35">
      <c r="A11" t="s">
        <v>50</v>
      </c>
      <c r="B11">
        <v>50.6</v>
      </c>
      <c r="C11">
        <v>10.3</v>
      </c>
    </row>
    <row r="12" spans="1:3" x14ac:dyDescent="0.35">
      <c r="A12" t="s">
        <v>63</v>
      </c>
      <c r="B12">
        <v>51.6</v>
      </c>
      <c r="C12">
        <v>6.2</v>
      </c>
    </row>
    <row r="13" spans="1:3" x14ac:dyDescent="0.35">
      <c r="A13" t="s">
        <v>54</v>
      </c>
      <c r="B13">
        <v>52.1</v>
      </c>
      <c r="C13">
        <v>7.9</v>
      </c>
    </row>
    <row r="14" spans="1:3" x14ac:dyDescent="0.35">
      <c r="A14" t="s">
        <v>96</v>
      </c>
      <c r="B14">
        <v>52.4</v>
      </c>
      <c r="C14">
        <v>4.5999999999999996</v>
      </c>
    </row>
    <row r="15" spans="1:3" x14ac:dyDescent="0.35">
      <c r="A15" t="s">
        <v>78</v>
      </c>
      <c r="B15">
        <v>53.3</v>
      </c>
      <c r="C15">
        <v>18.100000000000001</v>
      </c>
    </row>
    <row r="16" spans="1:3" x14ac:dyDescent="0.35">
      <c r="A16" t="s">
        <v>77</v>
      </c>
      <c r="B16">
        <v>54</v>
      </c>
      <c r="C16">
        <v>19.3</v>
      </c>
    </row>
    <row r="17" spans="1:3" x14ac:dyDescent="0.35">
      <c r="A17" t="s">
        <v>65</v>
      </c>
      <c r="B17">
        <v>54.9</v>
      </c>
      <c r="C17">
        <v>6.3</v>
      </c>
    </row>
    <row r="18" spans="1:3" x14ac:dyDescent="0.35">
      <c r="A18" t="s">
        <v>100</v>
      </c>
      <c r="B18">
        <v>55.1</v>
      </c>
    </row>
    <row r="19" spans="1:3" x14ac:dyDescent="0.35">
      <c r="A19" t="s">
        <v>163</v>
      </c>
      <c r="B19">
        <v>57</v>
      </c>
      <c r="C19">
        <v>3.9</v>
      </c>
    </row>
    <row r="20" spans="1:3" x14ac:dyDescent="0.35">
      <c r="A20" t="s">
        <v>72</v>
      </c>
      <c r="B20">
        <v>57.1</v>
      </c>
      <c r="C20">
        <v>6.5</v>
      </c>
    </row>
    <row r="21" spans="1:3" x14ac:dyDescent="0.35">
      <c r="A21" t="s">
        <v>79</v>
      </c>
      <c r="B21">
        <v>57.3</v>
      </c>
      <c r="C21">
        <v>8.1999999999999993</v>
      </c>
    </row>
    <row r="22" spans="1:3" x14ac:dyDescent="0.35">
      <c r="A22" t="s">
        <v>42</v>
      </c>
      <c r="B22">
        <v>57.7</v>
      </c>
      <c r="C22">
        <v>1.8</v>
      </c>
    </row>
    <row r="23" spans="1:3" x14ac:dyDescent="0.35">
      <c r="A23" t="s">
        <v>80</v>
      </c>
      <c r="B23">
        <v>59.4</v>
      </c>
      <c r="C23">
        <v>9.6999999999999993</v>
      </c>
    </row>
    <row r="24" spans="1:3" x14ac:dyDescent="0.35">
      <c r="A24" t="s">
        <v>56</v>
      </c>
      <c r="B24">
        <v>59.6</v>
      </c>
      <c r="C24">
        <v>4.0999999999999996</v>
      </c>
    </row>
    <row r="25" spans="1:3" x14ac:dyDescent="0.35">
      <c r="A25" t="s">
        <v>101</v>
      </c>
      <c r="B25">
        <v>60.1</v>
      </c>
    </row>
    <row r="26" spans="1:3" x14ac:dyDescent="0.35">
      <c r="A26" t="s">
        <v>102</v>
      </c>
      <c r="B26">
        <v>61.1</v>
      </c>
    </row>
    <row r="27" spans="1:3" x14ac:dyDescent="0.35">
      <c r="A27" t="s">
        <v>95</v>
      </c>
      <c r="B27">
        <v>61.7</v>
      </c>
      <c r="C27">
        <v>3.1</v>
      </c>
    </row>
    <row r="28" spans="1:3" x14ac:dyDescent="0.35">
      <c r="A28" t="s">
        <v>91</v>
      </c>
      <c r="B28">
        <v>62.6</v>
      </c>
      <c r="C28">
        <v>2.2999999999999998</v>
      </c>
    </row>
    <row r="29" spans="1:3" x14ac:dyDescent="0.35">
      <c r="A29" t="s">
        <v>66</v>
      </c>
      <c r="B29">
        <v>65</v>
      </c>
      <c r="C29">
        <v>9.5</v>
      </c>
    </row>
    <row r="30" spans="1:3" x14ac:dyDescent="0.35">
      <c r="A30" t="s">
        <v>99</v>
      </c>
      <c r="B30">
        <v>66.3</v>
      </c>
    </row>
    <row r="31" spans="1:3" x14ac:dyDescent="0.35">
      <c r="A31" s="18" t="s">
        <v>158</v>
      </c>
      <c r="B31">
        <v>66.3</v>
      </c>
    </row>
    <row r="32" spans="1:3" x14ac:dyDescent="0.35">
      <c r="A32" t="s">
        <v>60</v>
      </c>
      <c r="B32">
        <v>66.8</v>
      </c>
      <c r="C32">
        <v>7.9</v>
      </c>
    </row>
    <row r="33" spans="1:3" x14ac:dyDescent="0.35">
      <c r="A33" t="s">
        <v>62</v>
      </c>
      <c r="B33">
        <v>68.099999999999994</v>
      </c>
      <c r="C33">
        <v>5.2</v>
      </c>
    </row>
    <row r="34" spans="1:3" x14ac:dyDescent="0.35">
      <c r="A34" t="s">
        <v>94</v>
      </c>
      <c r="B34">
        <v>68.900000000000006</v>
      </c>
      <c r="C34">
        <v>3.5</v>
      </c>
    </row>
    <row r="35" spans="1:3" x14ac:dyDescent="0.35">
      <c r="A35" t="s">
        <v>71</v>
      </c>
      <c r="B35">
        <v>70.900000000000006</v>
      </c>
      <c r="C35">
        <v>4</v>
      </c>
    </row>
    <row r="36" spans="1:3" x14ac:dyDescent="0.35">
      <c r="A36" t="s">
        <v>64</v>
      </c>
      <c r="B36">
        <v>71.2</v>
      </c>
      <c r="C36">
        <v>3.8</v>
      </c>
    </row>
    <row r="37" spans="1:3" x14ac:dyDescent="0.35">
      <c r="A37" t="s">
        <v>93</v>
      </c>
      <c r="B37">
        <v>71.8</v>
      </c>
      <c r="C37">
        <v>7</v>
      </c>
    </row>
    <row r="38" spans="1:3" x14ac:dyDescent="0.35">
      <c r="A38" s="18" t="s">
        <v>160</v>
      </c>
      <c r="B38">
        <v>77.2</v>
      </c>
      <c r="C38">
        <v>3.1</v>
      </c>
    </row>
    <row r="39" spans="1:3" x14ac:dyDescent="0.35">
      <c r="A39" s="20" t="s">
        <v>159</v>
      </c>
      <c r="B39" s="20">
        <v>77.3</v>
      </c>
      <c r="C39">
        <v>9.1</v>
      </c>
    </row>
    <row r="40" spans="1:3" x14ac:dyDescent="0.35">
      <c r="A40" t="s">
        <v>81</v>
      </c>
      <c r="B40">
        <v>77.8</v>
      </c>
      <c r="C40">
        <v>3.6</v>
      </c>
    </row>
    <row r="41" spans="1:3" ht="29" x14ac:dyDescent="0.35">
      <c r="A41" s="3" t="s">
        <v>161</v>
      </c>
      <c r="B41">
        <v>78.7</v>
      </c>
      <c r="C41">
        <v>7.5</v>
      </c>
    </row>
    <row r="42" spans="1:3" x14ac:dyDescent="0.35">
      <c r="A42" t="s">
        <v>75</v>
      </c>
      <c r="B42">
        <v>79.599999999999994</v>
      </c>
      <c r="C42">
        <v>2.8</v>
      </c>
    </row>
    <row r="43" spans="1:3" ht="15" thickBot="1" x14ac:dyDescent="0.4">
      <c r="A43" s="21" t="s">
        <v>45</v>
      </c>
      <c r="B43" s="21">
        <v>79.599999999999994</v>
      </c>
      <c r="C43">
        <v>1.7</v>
      </c>
    </row>
    <row r="44" spans="1:3" x14ac:dyDescent="0.35">
      <c r="A44" t="s">
        <v>55</v>
      </c>
      <c r="B44">
        <v>84.1</v>
      </c>
      <c r="C44">
        <v>2</v>
      </c>
    </row>
    <row r="45" spans="1:3" x14ac:dyDescent="0.35">
      <c r="A45" t="s">
        <v>51</v>
      </c>
      <c r="B45">
        <v>86</v>
      </c>
      <c r="C45">
        <v>15.6</v>
      </c>
    </row>
    <row r="46" spans="1:3" x14ac:dyDescent="0.35">
      <c r="A46" t="s">
        <v>84</v>
      </c>
      <c r="B46">
        <v>86.6</v>
      </c>
      <c r="C46">
        <v>1.2</v>
      </c>
    </row>
    <row r="47" spans="1:3" x14ac:dyDescent="0.35">
      <c r="A47" t="s">
        <v>43</v>
      </c>
      <c r="B47">
        <v>86.9</v>
      </c>
      <c r="C47">
        <v>2</v>
      </c>
    </row>
    <row r="48" spans="1:3" x14ac:dyDescent="0.35">
      <c r="A48" t="s">
        <v>98</v>
      </c>
      <c r="B48">
        <v>87</v>
      </c>
    </row>
    <row r="49" spans="1:3" x14ac:dyDescent="0.35">
      <c r="A49" t="s">
        <v>83</v>
      </c>
      <c r="B49">
        <v>87.3</v>
      </c>
      <c r="C49">
        <v>2.2000000000000002</v>
      </c>
    </row>
    <row r="50" spans="1:3" x14ac:dyDescent="0.35">
      <c r="A50" t="s">
        <v>39</v>
      </c>
      <c r="B50">
        <v>87.5</v>
      </c>
      <c r="C50">
        <v>1.1000000000000001</v>
      </c>
    </row>
    <row r="51" spans="1:3" x14ac:dyDescent="0.35">
      <c r="A51" t="s">
        <v>90</v>
      </c>
      <c r="B51">
        <v>90.3</v>
      </c>
      <c r="C51">
        <v>2.2999999999999998</v>
      </c>
    </row>
    <row r="52" spans="1:3" ht="29" x14ac:dyDescent="0.35">
      <c r="A52" s="3" t="s">
        <v>162</v>
      </c>
      <c r="B52">
        <v>99.1</v>
      </c>
      <c r="C52">
        <v>6.6</v>
      </c>
    </row>
    <row r="53" spans="1:3" x14ac:dyDescent="0.35">
      <c r="A53" s="7" t="s">
        <v>68</v>
      </c>
      <c r="B53">
        <v>102</v>
      </c>
      <c r="C53">
        <v>0.9</v>
      </c>
    </row>
    <row r="54" spans="1:3" x14ac:dyDescent="0.35">
      <c r="A54" t="s">
        <v>41</v>
      </c>
      <c r="B54">
        <v>102.3</v>
      </c>
      <c r="C54">
        <v>1.7</v>
      </c>
    </row>
    <row r="55" spans="1:3" x14ac:dyDescent="0.35">
      <c r="A55" t="s">
        <v>53</v>
      </c>
      <c r="B55">
        <v>110</v>
      </c>
      <c r="C55">
        <v>2.2000000000000002</v>
      </c>
    </row>
    <row r="56" spans="1:3" x14ac:dyDescent="0.35">
      <c r="A56" t="s">
        <v>36</v>
      </c>
      <c r="B56">
        <v>127.1</v>
      </c>
      <c r="C56">
        <v>1</v>
      </c>
    </row>
    <row r="57" spans="1:3" x14ac:dyDescent="0.35">
      <c r="A57" t="s">
        <v>86</v>
      </c>
      <c r="B57">
        <v>129.19999999999999</v>
      </c>
      <c r="C57">
        <v>0.7</v>
      </c>
    </row>
    <row r="58" spans="1:3" x14ac:dyDescent="0.35">
      <c r="A58" s="7" t="s">
        <v>35</v>
      </c>
      <c r="B58">
        <v>141.6</v>
      </c>
      <c r="C58">
        <v>0.1</v>
      </c>
    </row>
    <row r="59" spans="1:3" ht="29" x14ac:dyDescent="0.35">
      <c r="A59" s="19" t="s">
        <v>164</v>
      </c>
      <c r="B59">
        <v>159.4</v>
      </c>
      <c r="C59">
        <v>0</v>
      </c>
    </row>
    <row r="60" spans="1:3" x14ac:dyDescent="0.35">
      <c r="A60" s="13" t="s">
        <v>85</v>
      </c>
      <c r="B60" s="13">
        <v>165.3</v>
      </c>
      <c r="C60" s="13">
        <v>0.1</v>
      </c>
    </row>
    <row r="61" spans="1:3" x14ac:dyDescent="0.35">
      <c r="A61" s="13" t="s">
        <v>37</v>
      </c>
      <c r="B61" s="13">
        <v>169.1</v>
      </c>
      <c r="C61" s="13">
        <v>0.9</v>
      </c>
    </row>
    <row r="62" spans="1:3" x14ac:dyDescent="0.35">
      <c r="A62" s="13" t="s">
        <v>40</v>
      </c>
      <c r="B62" s="13">
        <v>173.5</v>
      </c>
      <c r="C62" s="13">
        <v>0.6</v>
      </c>
    </row>
    <row r="63" spans="1:3" x14ac:dyDescent="0.35">
      <c r="A63" s="7" t="s">
        <v>38</v>
      </c>
      <c r="B63">
        <v>197.7</v>
      </c>
      <c r="C63">
        <v>1.1000000000000001</v>
      </c>
    </row>
    <row r="64" spans="1:3" x14ac:dyDescent="0.35">
      <c r="A64" s="13" t="s">
        <v>87</v>
      </c>
      <c r="B64" s="13">
        <v>357.2</v>
      </c>
      <c r="C64" s="13">
        <v>0.8</v>
      </c>
    </row>
  </sheetData>
  <autoFilter ref="A1:C64" xr:uid="{944F27F9-CF83-40DA-B247-DD4965364F28}">
    <sortState xmlns:xlrd2="http://schemas.microsoft.com/office/spreadsheetml/2017/richdata2" ref="A2:C64">
      <sortCondition ref="B1:B64"/>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2143-B7B5-4B4C-B0A6-499935AA0B86}">
  <dimension ref="A1:X14"/>
  <sheetViews>
    <sheetView workbookViewId="0">
      <pane xSplit="1" topLeftCell="N1" activePane="topRight" state="frozen"/>
      <selection pane="topRight" activeCell="A11" sqref="A11:XFD11"/>
    </sheetView>
  </sheetViews>
  <sheetFormatPr defaultRowHeight="14.5" x14ac:dyDescent="0.35"/>
  <cols>
    <col min="1" max="1" width="58.1796875" customWidth="1"/>
    <col min="28" max="28" width="35.36328125" customWidth="1"/>
  </cols>
  <sheetData>
    <row r="1" spans="1:24" x14ac:dyDescent="0.35">
      <c r="A1" t="s">
        <v>0</v>
      </c>
    </row>
    <row r="3" spans="1:24" x14ac:dyDescent="0.35">
      <c r="A3" t="s">
        <v>1</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row>
    <row r="4" spans="1:24" x14ac:dyDescent="0.35">
      <c r="A4" t="s">
        <v>3</v>
      </c>
      <c r="B4">
        <v>3268.5</v>
      </c>
      <c r="C4">
        <v>3860.4</v>
      </c>
      <c r="D4">
        <v>5425.5</v>
      </c>
      <c r="E4">
        <v>6016.6</v>
      </c>
      <c r="F4">
        <v>7432.4</v>
      </c>
      <c r="G4">
        <v>9932.1</v>
      </c>
      <c r="H4">
        <v>11427.3</v>
      </c>
      <c r="I4">
        <v>14568.1</v>
      </c>
      <c r="J4">
        <v>18335.8</v>
      </c>
      <c r="K4">
        <v>23780.799999999999</v>
      </c>
      <c r="L4">
        <v>28907.8</v>
      </c>
      <c r="M4">
        <v>34097.800000000003</v>
      </c>
      <c r="N4">
        <v>37439.599999999999</v>
      </c>
      <c r="O4">
        <v>34822.1</v>
      </c>
      <c r="P4">
        <v>39047.5</v>
      </c>
      <c r="Q4">
        <v>44711.5</v>
      </c>
      <c r="R4">
        <v>48524.6</v>
      </c>
      <c r="S4">
        <v>54383.3</v>
      </c>
      <c r="T4">
        <v>59202.2</v>
      </c>
      <c r="U4">
        <v>67019.3</v>
      </c>
      <c r="V4">
        <v>38604.6</v>
      </c>
      <c r="W4">
        <v>23690.400000000001</v>
      </c>
      <c r="X4">
        <v>57789.3</v>
      </c>
    </row>
    <row r="5" spans="1:24" x14ac:dyDescent="0.35">
      <c r="A5" s="1" t="s">
        <v>4</v>
      </c>
      <c r="B5" s="1">
        <v>1190</v>
      </c>
      <c r="C5" s="1">
        <v>2009</v>
      </c>
      <c r="D5" s="1">
        <v>2430.4</v>
      </c>
      <c r="E5" s="1">
        <v>2633.2</v>
      </c>
      <c r="F5" s="1">
        <v>3302.1</v>
      </c>
      <c r="G5" s="1">
        <v>4761.2</v>
      </c>
      <c r="H5" s="1">
        <v>5304.7</v>
      </c>
      <c r="I5" s="1">
        <v>7712</v>
      </c>
      <c r="J5" s="1">
        <v>8409.6</v>
      </c>
      <c r="K5" s="1">
        <v>10278.4</v>
      </c>
      <c r="L5" s="1">
        <v>15539.3</v>
      </c>
      <c r="M5" s="1">
        <v>18091.599999999999</v>
      </c>
      <c r="N5" s="1">
        <v>18852.900000000001</v>
      </c>
      <c r="O5" s="1">
        <v>24820.6</v>
      </c>
      <c r="P5" s="1">
        <v>27799.4</v>
      </c>
      <c r="Q5" s="1">
        <v>30444.1</v>
      </c>
      <c r="R5" s="1">
        <v>32530.3</v>
      </c>
      <c r="S5" s="1">
        <v>36111.800000000003</v>
      </c>
      <c r="T5" s="1">
        <v>40371.199999999997</v>
      </c>
      <c r="U5" s="1">
        <v>44669.9</v>
      </c>
      <c r="V5" s="1">
        <v>16492</v>
      </c>
      <c r="W5" s="1">
        <v>8998.7999999999993</v>
      </c>
      <c r="X5" s="1">
        <v>35453.4</v>
      </c>
    </row>
    <row r="6" spans="1:24" x14ac:dyDescent="0.35">
      <c r="A6" t="s">
        <v>5</v>
      </c>
      <c r="B6">
        <v>10330</v>
      </c>
      <c r="C6">
        <v>14092</v>
      </c>
      <c r="D6">
        <v>19610.599999999999</v>
      </c>
      <c r="E6">
        <v>20684.2</v>
      </c>
      <c r="F6">
        <v>24102.2</v>
      </c>
      <c r="G6">
        <v>26905.1</v>
      </c>
      <c r="H6">
        <v>28107.3</v>
      </c>
      <c r="I6">
        <v>35058.9</v>
      </c>
      <c r="J6">
        <v>40351.9</v>
      </c>
      <c r="K6">
        <v>54323.4</v>
      </c>
      <c r="L6">
        <v>66535.199999999997</v>
      </c>
      <c r="M6">
        <v>71216.3</v>
      </c>
      <c r="N6">
        <v>79680</v>
      </c>
      <c r="O6">
        <v>87432.9</v>
      </c>
      <c r="P6">
        <v>100441.5</v>
      </c>
      <c r="Q6">
        <v>114011</v>
      </c>
      <c r="R6">
        <v>129735.2</v>
      </c>
      <c r="S6">
        <v>146585.20000000001</v>
      </c>
      <c r="T6">
        <v>159640.6</v>
      </c>
      <c r="U6">
        <v>179365.5</v>
      </c>
      <c r="V6">
        <v>85297.7</v>
      </c>
      <c r="W6">
        <v>63602.7</v>
      </c>
      <c r="X6">
        <v>135432.29999999999</v>
      </c>
    </row>
    <row r="7" spans="1:24" x14ac:dyDescent="0.35">
      <c r="A7" t="s">
        <v>6</v>
      </c>
      <c r="B7" t="s">
        <v>7</v>
      </c>
      <c r="C7" t="s">
        <v>7</v>
      </c>
      <c r="D7" t="s">
        <v>7</v>
      </c>
      <c r="E7" t="s">
        <v>7</v>
      </c>
      <c r="F7" t="s">
        <v>7</v>
      </c>
      <c r="G7" t="s">
        <v>7</v>
      </c>
      <c r="H7" t="s">
        <v>7</v>
      </c>
      <c r="I7" t="s">
        <v>7</v>
      </c>
      <c r="J7" t="s">
        <v>7</v>
      </c>
      <c r="K7" t="s">
        <v>7</v>
      </c>
      <c r="L7" t="s">
        <v>7</v>
      </c>
      <c r="M7" t="s">
        <v>7</v>
      </c>
      <c r="N7" t="s">
        <v>7</v>
      </c>
      <c r="O7" t="s">
        <v>7</v>
      </c>
      <c r="P7" t="s">
        <v>7</v>
      </c>
      <c r="Q7" t="s">
        <v>7</v>
      </c>
      <c r="R7" t="s">
        <v>7</v>
      </c>
      <c r="S7" t="s">
        <v>7</v>
      </c>
      <c r="T7" t="s">
        <v>7</v>
      </c>
      <c r="U7" t="s">
        <v>7</v>
      </c>
      <c r="V7" t="s">
        <v>7</v>
      </c>
      <c r="W7">
        <v>43831.5</v>
      </c>
      <c r="X7">
        <v>105827.2</v>
      </c>
    </row>
    <row r="8" spans="1:24" x14ac:dyDescent="0.35">
      <c r="A8" t="s">
        <v>8</v>
      </c>
      <c r="B8" t="s">
        <v>7</v>
      </c>
      <c r="C8" t="s">
        <v>7</v>
      </c>
      <c r="D8" t="s">
        <v>7</v>
      </c>
      <c r="E8" t="s">
        <v>7</v>
      </c>
      <c r="F8" t="s">
        <v>7</v>
      </c>
      <c r="G8" t="s">
        <v>7</v>
      </c>
      <c r="H8" t="s">
        <v>7</v>
      </c>
      <c r="I8" t="s">
        <v>7</v>
      </c>
      <c r="J8" t="s">
        <v>7</v>
      </c>
      <c r="K8" t="s">
        <v>7</v>
      </c>
      <c r="L8" t="s">
        <v>7</v>
      </c>
      <c r="M8" t="s">
        <v>7</v>
      </c>
      <c r="N8" t="s">
        <v>7</v>
      </c>
      <c r="O8" t="s">
        <v>7</v>
      </c>
      <c r="P8" t="s">
        <v>7</v>
      </c>
      <c r="Q8" t="s">
        <v>7</v>
      </c>
      <c r="R8" t="s">
        <v>7</v>
      </c>
      <c r="S8" t="s">
        <v>7</v>
      </c>
      <c r="T8" t="s">
        <v>7</v>
      </c>
      <c r="U8" t="s">
        <v>7</v>
      </c>
      <c r="V8" t="s">
        <v>7</v>
      </c>
      <c r="W8">
        <v>19771.2</v>
      </c>
      <c r="X8">
        <v>29605.1</v>
      </c>
    </row>
    <row r="9" spans="1:24" x14ac:dyDescent="0.35">
      <c r="A9" s="1" t="s">
        <v>9</v>
      </c>
      <c r="B9">
        <v>7674</v>
      </c>
      <c r="C9">
        <v>9982</v>
      </c>
      <c r="D9">
        <v>14676.4</v>
      </c>
      <c r="E9">
        <v>16497</v>
      </c>
      <c r="F9">
        <v>18426</v>
      </c>
      <c r="G9">
        <v>21578.5</v>
      </c>
      <c r="H9">
        <v>22263.200000000001</v>
      </c>
      <c r="I9">
        <v>27023.1</v>
      </c>
      <c r="J9">
        <v>33618.6</v>
      </c>
      <c r="K9">
        <v>46728.1</v>
      </c>
      <c r="L9">
        <v>57897.3</v>
      </c>
      <c r="M9">
        <v>61405.4</v>
      </c>
      <c r="N9">
        <v>70085.399999999994</v>
      </c>
      <c r="O9">
        <v>77863.8</v>
      </c>
      <c r="P9">
        <v>90571.6</v>
      </c>
      <c r="Q9">
        <v>102200</v>
      </c>
      <c r="R9">
        <v>117037.8</v>
      </c>
      <c r="S9">
        <v>132837.9</v>
      </c>
      <c r="T9">
        <v>144683.1</v>
      </c>
      <c r="U9">
        <v>162046.6</v>
      </c>
      <c r="V9">
        <v>78083.8</v>
      </c>
      <c r="W9">
        <v>60453.2</v>
      </c>
      <c r="X9">
        <v>124641.1</v>
      </c>
    </row>
    <row r="10" spans="1:24" x14ac:dyDescent="0.35">
      <c r="A10" s="1" t="s">
        <v>10</v>
      </c>
      <c r="B10">
        <v>2656</v>
      </c>
      <c r="C10">
        <v>4110</v>
      </c>
      <c r="D10">
        <v>4934.2</v>
      </c>
      <c r="E10">
        <v>4187.2</v>
      </c>
      <c r="F10">
        <v>5676.2</v>
      </c>
      <c r="G10">
        <v>5326.6</v>
      </c>
      <c r="H10">
        <v>5844.1</v>
      </c>
      <c r="I10">
        <v>8035.8</v>
      </c>
      <c r="J10">
        <v>6733.3</v>
      </c>
      <c r="K10">
        <v>7595.3</v>
      </c>
      <c r="L10">
        <v>8637.9</v>
      </c>
      <c r="M10">
        <v>9810.9</v>
      </c>
      <c r="N10">
        <v>9594.6</v>
      </c>
      <c r="O10">
        <v>9569.1</v>
      </c>
      <c r="P10">
        <v>9869.9</v>
      </c>
      <c r="Q10">
        <v>11811</v>
      </c>
      <c r="R10">
        <v>12697.4</v>
      </c>
      <c r="S10">
        <v>13747.3</v>
      </c>
      <c r="T10">
        <v>14957.5</v>
      </c>
      <c r="U10">
        <v>17318.900000000001</v>
      </c>
      <c r="V10">
        <v>7213.9</v>
      </c>
      <c r="W10">
        <v>3149.5</v>
      </c>
      <c r="X10">
        <v>10791.2</v>
      </c>
    </row>
    <row r="11" spans="1:24" x14ac:dyDescent="0.35">
      <c r="A11" t="s">
        <v>11</v>
      </c>
      <c r="B11">
        <v>2397.8000000000002</v>
      </c>
      <c r="C11">
        <v>3113.4</v>
      </c>
      <c r="D11">
        <v>4669.8999999999996</v>
      </c>
      <c r="E11">
        <v>3976.2</v>
      </c>
      <c r="F11">
        <v>5155.2</v>
      </c>
      <c r="G11">
        <v>5433.9</v>
      </c>
      <c r="H11">
        <v>4897</v>
      </c>
      <c r="I11">
        <v>4804.3</v>
      </c>
      <c r="J11">
        <v>4997.3</v>
      </c>
      <c r="K11">
        <v>8074.2</v>
      </c>
      <c r="L11">
        <v>8234.2000000000007</v>
      </c>
      <c r="M11">
        <v>8967.2000000000007</v>
      </c>
      <c r="N11">
        <v>8998.2999999999993</v>
      </c>
      <c r="O11">
        <v>9645.9</v>
      </c>
      <c r="P11">
        <v>11305.9</v>
      </c>
      <c r="Q11">
        <v>12601.7</v>
      </c>
      <c r="R11">
        <v>13651</v>
      </c>
      <c r="S11">
        <v>15173</v>
      </c>
      <c r="T11">
        <v>16966</v>
      </c>
      <c r="U11">
        <v>18366.3</v>
      </c>
      <c r="V11">
        <v>8397.7999999999993</v>
      </c>
      <c r="W11">
        <v>3565.3</v>
      </c>
      <c r="X11">
        <v>10080.9</v>
      </c>
    </row>
    <row r="12" spans="1:24" x14ac:dyDescent="0.35">
      <c r="A12" t="s">
        <v>12</v>
      </c>
      <c r="B12">
        <v>939.5</v>
      </c>
      <c r="C12">
        <v>1577.3</v>
      </c>
      <c r="D12">
        <v>2624.5</v>
      </c>
      <c r="E12">
        <v>2400.5</v>
      </c>
      <c r="F12">
        <v>2914.7</v>
      </c>
      <c r="G12">
        <v>3287</v>
      </c>
      <c r="H12">
        <v>2591.6999999999998</v>
      </c>
      <c r="I12">
        <v>2559.8000000000002</v>
      </c>
      <c r="J12">
        <v>2589</v>
      </c>
      <c r="K12">
        <v>5274.2</v>
      </c>
      <c r="L12">
        <v>5415</v>
      </c>
      <c r="M12">
        <v>5986.2</v>
      </c>
      <c r="N12">
        <v>6608.4</v>
      </c>
      <c r="O12">
        <v>7218.2</v>
      </c>
      <c r="P12">
        <v>8552.7999999999993</v>
      </c>
      <c r="Q12">
        <v>9288.7000000000007</v>
      </c>
      <c r="R12">
        <v>9477.6</v>
      </c>
      <c r="S12">
        <v>9918.4</v>
      </c>
      <c r="T12">
        <v>11062.2</v>
      </c>
      <c r="U12">
        <v>11791.2</v>
      </c>
      <c r="V12">
        <v>5789.4</v>
      </c>
      <c r="W12">
        <v>3317</v>
      </c>
      <c r="X12">
        <v>7386.3</v>
      </c>
    </row>
    <row r="13" spans="1:24" s="2" customFormat="1" x14ac:dyDescent="0.35">
      <c r="A13" s="2" t="s">
        <v>13</v>
      </c>
      <c r="B13" s="2">
        <v>1359.3</v>
      </c>
      <c r="C13" s="2">
        <v>1439.1</v>
      </c>
      <c r="D13" s="2">
        <v>1947.6</v>
      </c>
      <c r="E13" s="2">
        <v>1425</v>
      </c>
      <c r="F13" s="2">
        <v>1644.5</v>
      </c>
      <c r="G13" s="2">
        <v>1776.3</v>
      </c>
      <c r="H13" s="2">
        <v>1902.3</v>
      </c>
      <c r="I13" s="2">
        <v>1883.7</v>
      </c>
      <c r="J13" s="2">
        <v>2032.2</v>
      </c>
      <c r="K13" s="2">
        <v>2344.3000000000002</v>
      </c>
      <c r="L13" s="2">
        <v>2385.8000000000002</v>
      </c>
      <c r="M13" s="2">
        <v>2520</v>
      </c>
      <c r="N13" s="2">
        <v>1985.4</v>
      </c>
      <c r="O13" s="2">
        <v>2037</v>
      </c>
      <c r="P13" s="2">
        <v>2323.5</v>
      </c>
      <c r="Q13" s="2">
        <v>2820</v>
      </c>
      <c r="R13" s="2">
        <v>3584.5</v>
      </c>
      <c r="S13" s="2">
        <v>4556.3999999999996</v>
      </c>
      <c r="T13" s="2">
        <v>5125.8999999999996</v>
      </c>
      <c r="U13" s="2">
        <v>5730.3</v>
      </c>
      <c r="V13" s="2">
        <v>2520.4</v>
      </c>
      <c r="W13" s="2">
        <v>246</v>
      </c>
      <c r="X13" s="2">
        <v>2600.1999999999998</v>
      </c>
    </row>
    <row r="14" spans="1:24" x14ac:dyDescent="0.35">
      <c r="A14" t="s">
        <v>14</v>
      </c>
      <c r="B14">
        <v>99</v>
      </c>
      <c r="C14">
        <v>97</v>
      </c>
      <c r="D14">
        <v>97.8</v>
      </c>
      <c r="E14">
        <v>150.69999999999999</v>
      </c>
      <c r="F14">
        <v>596</v>
      </c>
      <c r="G14">
        <v>370.6</v>
      </c>
      <c r="H14">
        <v>403</v>
      </c>
      <c r="I14">
        <v>360.8</v>
      </c>
      <c r="J14">
        <v>376.1</v>
      </c>
      <c r="K14">
        <v>455.7</v>
      </c>
      <c r="L14">
        <v>433.4</v>
      </c>
      <c r="M14">
        <v>461</v>
      </c>
      <c r="N14">
        <v>404.5</v>
      </c>
      <c r="O14">
        <v>390.7</v>
      </c>
      <c r="P14">
        <v>429.6</v>
      </c>
      <c r="Q14">
        <v>493</v>
      </c>
      <c r="R14">
        <v>588.79999999999995</v>
      </c>
      <c r="S14">
        <v>698.3</v>
      </c>
      <c r="T14">
        <v>777.9</v>
      </c>
      <c r="U14">
        <v>844.8</v>
      </c>
      <c r="V14">
        <v>88</v>
      </c>
      <c r="W14">
        <v>2.2999999999999998</v>
      </c>
      <c r="X14">
        <v>94.4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8283-FD12-4FD4-A2C0-FE516900BEFC}">
  <dimension ref="A1:J67"/>
  <sheetViews>
    <sheetView workbookViewId="0">
      <selection activeCell="A8" sqref="A8"/>
    </sheetView>
  </sheetViews>
  <sheetFormatPr defaultRowHeight="14.5" x14ac:dyDescent="0.35"/>
  <sheetData>
    <row r="1" spans="1:10" x14ac:dyDescent="0.35">
      <c r="A1" t="s">
        <v>110</v>
      </c>
    </row>
    <row r="3" spans="1:10" x14ac:dyDescent="0.35">
      <c r="A3" t="s">
        <v>32</v>
      </c>
      <c r="B3">
        <v>2016</v>
      </c>
      <c r="C3">
        <v>2017</v>
      </c>
      <c r="D3">
        <v>2018</v>
      </c>
      <c r="E3">
        <v>2019</v>
      </c>
      <c r="F3">
        <v>2020</v>
      </c>
      <c r="G3">
        <v>2021</v>
      </c>
      <c r="H3">
        <v>2022</v>
      </c>
      <c r="I3" t="s">
        <v>109</v>
      </c>
      <c r="J3" t="s">
        <v>147</v>
      </c>
    </row>
    <row r="4" spans="1:10" x14ac:dyDescent="0.35">
      <c r="A4" t="s">
        <v>96</v>
      </c>
      <c r="B4">
        <v>7.6</v>
      </c>
      <c r="C4">
        <v>6.8</v>
      </c>
      <c r="D4">
        <v>5.7</v>
      </c>
      <c r="E4">
        <v>4.9000000000000004</v>
      </c>
      <c r="F4">
        <v>4</v>
      </c>
      <c r="G4">
        <v>3.5</v>
      </c>
      <c r="H4">
        <v>4.5999999999999996</v>
      </c>
      <c r="I4">
        <v>3.7</v>
      </c>
      <c r="J4">
        <f t="shared" ref="J4:J35" si="0">H4-B4</f>
        <v>-3</v>
      </c>
    </row>
    <row r="5" spans="1:10" x14ac:dyDescent="0.35">
      <c r="A5" t="s">
        <v>87</v>
      </c>
      <c r="B5">
        <v>1.3</v>
      </c>
      <c r="C5">
        <v>1.1000000000000001</v>
      </c>
      <c r="D5">
        <v>0.9</v>
      </c>
      <c r="E5">
        <v>0.7</v>
      </c>
      <c r="F5">
        <v>0.5</v>
      </c>
      <c r="G5">
        <v>0.2</v>
      </c>
      <c r="H5">
        <v>0.8</v>
      </c>
      <c r="I5">
        <v>0.6</v>
      </c>
      <c r="J5">
        <f t="shared" si="0"/>
        <v>-0.5</v>
      </c>
    </row>
    <row r="6" spans="1:10" x14ac:dyDescent="0.35">
      <c r="A6" t="s">
        <v>55</v>
      </c>
      <c r="B6">
        <v>6.4</v>
      </c>
      <c r="C6">
        <v>5.4</v>
      </c>
      <c r="D6">
        <v>3.8</v>
      </c>
      <c r="E6">
        <v>3.3</v>
      </c>
      <c r="F6">
        <v>2.8</v>
      </c>
      <c r="G6">
        <v>2.6</v>
      </c>
      <c r="H6">
        <v>2</v>
      </c>
      <c r="I6">
        <v>1.5</v>
      </c>
      <c r="J6">
        <f t="shared" si="0"/>
        <v>-4.4000000000000004</v>
      </c>
    </row>
    <row r="7" spans="1:10" x14ac:dyDescent="0.35">
      <c r="A7" t="s">
        <v>49</v>
      </c>
      <c r="B7">
        <v>29.7</v>
      </c>
      <c r="C7">
        <v>27.7</v>
      </c>
      <c r="D7">
        <v>25.1</v>
      </c>
      <c r="E7">
        <v>22.5</v>
      </c>
      <c r="F7">
        <v>21.5</v>
      </c>
      <c r="G7">
        <v>20.6</v>
      </c>
      <c r="H7">
        <v>20.100000000000001</v>
      </c>
      <c r="I7">
        <v>16.7</v>
      </c>
      <c r="J7">
        <f t="shared" si="0"/>
        <v>-9.5999999999999979</v>
      </c>
    </row>
    <row r="8" spans="1:10" x14ac:dyDescent="0.35">
      <c r="A8" t="s">
        <v>37</v>
      </c>
      <c r="B8">
        <v>1.9</v>
      </c>
      <c r="C8">
        <v>1.4</v>
      </c>
      <c r="D8">
        <v>1.1000000000000001</v>
      </c>
      <c r="E8">
        <v>0.8</v>
      </c>
      <c r="F8">
        <v>0.7</v>
      </c>
      <c r="G8">
        <v>0.6</v>
      </c>
      <c r="H8">
        <v>0.9</v>
      </c>
      <c r="I8">
        <v>1</v>
      </c>
      <c r="J8">
        <f t="shared" si="0"/>
        <v>-0.99999999999999989</v>
      </c>
    </row>
    <row r="9" spans="1:10" x14ac:dyDescent="0.35">
      <c r="A9" t="s">
        <v>92</v>
      </c>
      <c r="B9">
        <v>10.1</v>
      </c>
      <c r="C9">
        <v>8.6999999999999993</v>
      </c>
      <c r="D9">
        <v>6.7</v>
      </c>
      <c r="E9">
        <v>5.6</v>
      </c>
      <c r="F9">
        <v>5</v>
      </c>
      <c r="G9">
        <v>4.5999999999999996</v>
      </c>
      <c r="H9">
        <v>3.9</v>
      </c>
      <c r="I9">
        <v>2.4</v>
      </c>
      <c r="J9">
        <f t="shared" si="0"/>
        <v>-6.1999999999999993</v>
      </c>
    </row>
    <row r="10" spans="1:10" x14ac:dyDescent="0.35">
      <c r="A10" t="s">
        <v>71</v>
      </c>
      <c r="B10">
        <v>8</v>
      </c>
      <c r="C10">
        <v>6.9</v>
      </c>
      <c r="D10">
        <v>5.5</v>
      </c>
      <c r="E10">
        <v>4.5999999999999996</v>
      </c>
      <c r="F10">
        <v>4.0999999999999996</v>
      </c>
      <c r="G10">
        <v>3.6</v>
      </c>
      <c r="H10">
        <v>4</v>
      </c>
      <c r="I10">
        <v>2.4</v>
      </c>
      <c r="J10">
        <f t="shared" si="0"/>
        <v>-4</v>
      </c>
    </row>
    <row r="11" spans="1:10" x14ac:dyDescent="0.35">
      <c r="A11" t="s">
        <v>85</v>
      </c>
      <c r="B11">
        <v>1.1000000000000001</v>
      </c>
      <c r="C11">
        <v>0.9</v>
      </c>
      <c r="D11">
        <v>0.7</v>
      </c>
      <c r="E11">
        <v>0.6</v>
      </c>
      <c r="F11">
        <v>0.1</v>
      </c>
      <c r="G11">
        <v>0</v>
      </c>
      <c r="H11">
        <v>0.1</v>
      </c>
      <c r="I11">
        <v>0.1</v>
      </c>
      <c r="J11">
        <f t="shared" si="0"/>
        <v>-1</v>
      </c>
    </row>
    <row r="12" spans="1:10" x14ac:dyDescent="0.35">
      <c r="A12" t="s">
        <v>83</v>
      </c>
      <c r="B12">
        <v>6.7</v>
      </c>
      <c r="C12">
        <v>6</v>
      </c>
      <c r="D12">
        <v>4.4000000000000004</v>
      </c>
      <c r="E12">
        <v>3.7</v>
      </c>
      <c r="F12">
        <v>3</v>
      </c>
      <c r="G12">
        <v>2.7</v>
      </c>
      <c r="H12">
        <v>2.2000000000000002</v>
      </c>
      <c r="I12">
        <v>1.7</v>
      </c>
      <c r="J12">
        <f t="shared" si="0"/>
        <v>-4.5</v>
      </c>
    </row>
    <row r="13" spans="1:10" x14ac:dyDescent="0.35">
      <c r="A13" t="s">
        <v>75</v>
      </c>
      <c r="B13">
        <v>4.4000000000000004</v>
      </c>
      <c r="C13">
        <v>3.6</v>
      </c>
      <c r="D13">
        <v>2.6</v>
      </c>
      <c r="E13">
        <v>2.1</v>
      </c>
      <c r="F13">
        <v>1.6</v>
      </c>
      <c r="G13">
        <v>1.3</v>
      </c>
      <c r="H13">
        <v>2.8</v>
      </c>
      <c r="I13">
        <v>1.2</v>
      </c>
      <c r="J13">
        <f t="shared" si="0"/>
        <v>-1.6000000000000005</v>
      </c>
    </row>
    <row r="14" spans="1:10" x14ac:dyDescent="0.35">
      <c r="A14" t="s">
        <v>48</v>
      </c>
      <c r="B14">
        <v>37.299999999999997</v>
      </c>
      <c r="C14">
        <v>34.9</v>
      </c>
      <c r="D14">
        <v>31.5</v>
      </c>
      <c r="E14">
        <v>28.5</v>
      </c>
      <c r="F14">
        <v>26</v>
      </c>
      <c r="G14">
        <v>24.5</v>
      </c>
      <c r="H14">
        <v>23.6</v>
      </c>
      <c r="I14">
        <v>21.2</v>
      </c>
      <c r="J14">
        <f t="shared" si="0"/>
        <v>-13.699999999999996</v>
      </c>
    </row>
    <row r="15" spans="1:10" x14ac:dyDescent="0.35">
      <c r="A15" t="s">
        <v>76</v>
      </c>
      <c r="B15">
        <v>18.5</v>
      </c>
      <c r="C15">
        <v>17.100000000000001</v>
      </c>
      <c r="D15">
        <v>13.9</v>
      </c>
      <c r="E15">
        <v>12.4</v>
      </c>
      <c r="F15">
        <v>11</v>
      </c>
      <c r="G15">
        <v>10.1</v>
      </c>
      <c r="H15">
        <v>10.8</v>
      </c>
      <c r="I15">
        <v>9</v>
      </c>
      <c r="J15">
        <f t="shared" si="0"/>
        <v>-7.6999999999999993</v>
      </c>
    </row>
    <row r="16" spans="1:10" x14ac:dyDescent="0.35">
      <c r="A16" t="s">
        <v>68</v>
      </c>
      <c r="B16">
        <v>1.5</v>
      </c>
      <c r="C16">
        <v>1.2</v>
      </c>
      <c r="D16">
        <v>0.9</v>
      </c>
      <c r="E16">
        <v>0.7</v>
      </c>
      <c r="F16">
        <v>0.5</v>
      </c>
      <c r="G16">
        <v>0.4</v>
      </c>
      <c r="H16">
        <v>0.9</v>
      </c>
      <c r="I16">
        <v>0.9</v>
      </c>
      <c r="J16">
        <f t="shared" si="0"/>
        <v>-0.6</v>
      </c>
    </row>
    <row r="17" spans="1:10" x14ac:dyDescent="0.35">
      <c r="A17" t="s">
        <v>79</v>
      </c>
      <c r="B17">
        <v>15.4</v>
      </c>
      <c r="C17">
        <v>13.5</v>
      </c>
      <c r="D17">
        <v>10.9</v>
      </c>
      <c r="E17">
        <v>9.1</v>
      </c>
      <c r="F17">
        <v>7.8</v>
      </c>
      <c r="G17">
        <v>7</v>
      </c>
      <c r="H17">
        <v>8.1999999999999993</v>
      </c>
      <c r="I17">
        <v>7.1</v>
      </c>
      <c r="J17">
        <f t="shared" si="0"/>
        <v>-7.2000000000000011</v>
      </c>
    </row>
    <row r="18" spans="1:10" x14ac:dyDescent="0.35">
      <c r="A18" t="s">
        <v>80</v>
      </c>
      <c r="B18">
        <v>17.100000000000001</v>
      </c>
      <c r="C18">
        <v>14.8</v>
      </c>
      <c r="D18">
        <v>12.1</v>
      </c>
      <c r="E18">
        <v>10.1</v>
      </c>
      <c r="F18">
        <v>9</v>
      </c>
      <c r="G18">
        <v>8.1999999999999993</v>
      </c>
      <c r="H18">
        <v>9.6999999999999993</v>
      </c>
      <c r="I18">
        <v>8.6999999999999993</v>
      </c>
      <c r="J18">
        <f t="shared" si="0"/>
        <v>-7.4000000000000021</v>
      </c>
    </row>
    <row r="19" spans="1:10" x14ac:dyDescent="0.35">
      <c r="A19" t="s">
        <v>57</v>
      </c>
      <c r="B19">
        <v>53.9</v>
      </c>
      <c r="C19">
        <v>50.2</v>
      </c>
      <c r="D19">
        <v>44.5</v>
      </c>
      <c r="E19">
        <v>39.9</v>
      </c>
      <c r="F19">
        <v>36.700000000000003</v>
      </c>
      <c r="G19">
        <v>34.5</v>
      </c>
      <c r="H19">
        <v>33.6</v>
      </c>
      <c r="I19">
        <v>29.5</v>
      </c>
      <c r="J19">
        <f t="shared" si="0"/>
        <v>-20.299999999999997</v>
      </c>
    </row>
    <row r="20" spans="1:10" x14ac:dyDescent="0.35">
      <c r="A20" t="s">
        <v>86</v>
      </c>
      <c r="B20">
        <v>0.8</v>
      </c>
      <c r="C20">
        <v>0.7</v>
      </c>
      <c r="D20">
        <v>0.5</v>
      </c>
      <c r="E20">
        <v>0.3</v>
      </c>
      <c r="F20">
        <v>0.3</v>
      </c>
      <c r="G20">
        <v>0.3</v>
      </c>
      <c r="H20">
        <v>0.7</v>
      </c>
      <c r="I20">
        <v>0.5</v>
      </c>
      <c r="J20">
        <f t="shared" si="0"/>
        <v>-0.10000000000000009</v>
      </c>
    </row>
    <row r="21" spans="1:10" x14ac:dyDescent="0.35">
      <c r="A21" t="s">
        <v>95</v>
      </c>
      <c r="B21">
        <v>8</v>
      </c>
      <c r="C21">
        <v>6.9</v>
      </c>
      <c r="D21">
        <v>5.6</v>
      </c>
      <c r="E21">
        <v>4.7</v>
      </c>
      <c r="F21">
        <v>4</v>
      </c>
      <c r="G21">
        <v>3.7</v>
      </c>
      <c r="H21">
        <v>3.1</v>
      </c>
      <c r="I21">
        <v>2.2000000000000002</v>
      </c>
      <c r="J21">
        <f t="shared" si="0"/>
        <v>-4.9000000000000004</v>
      </c>
    </row>
    <row r="22" spans="1:10" x14ac:dyDescent="0.35">
      <c r="A22" t="s">
        <v>78</v>
      </c>
      <c r="B22">
        <v>30.2</v>
      </c>
      <c r="C22">
        <v>27.5</v>
      </c>
      <c r="D22">
        <v>23.4</v>
      </c>
      <c r="E22">
        <v>20.2</v>
      </c>
      <c r="F22">
        <v>18.399999999999999</v>
      </c>
      <c r="G22">
        <v>16.899999999999999</v>
      </c>
      <c r="H22">
        <v>18.100000000000001</v>
      </c>
      <c r="I22">
        <v>14.8</v>
      </c>
      <c r="J22">
        <f t="shared" si="0"/>
        <v>-12.099999999999998</v>
      </c>
    </row>
    <row r="23" spans="1:10" x14ac:dyDescent="0.35">
      <c r="A23" t="s">
        <v>47</v>
      </c>
      <c r="B23">
        <v>39.799999999999997</v>
      </c>
      <c r="C23">
        <v>36.9</v>
      </c>
      <c r="D23">
        <v>32.6</v>
      </c>
      <c r="E23">
        <v>29.1</v>
      </c>
      <c r="F23">
        <v>27</v>
      </c>
      <c r="G23">
        <v>25</v>
      </c>
      <c r="H23">
        <v>31.6</v>
      </c>
      <c r="I23">
        <v>29.1</v>
      </c>
      <c r="J23">
        <f t="shared" si="0"/>
        <v>-8.1999999999999957</v>
      </c>
    </row>
    <row r="24" spans="1:10" x14ac:dyDescent="0.35">
      <c r="A24" t="s">
        <v>43</v>
      </c>
      <c r="B24">
        <v>4.9000000000000004</v>
      </c>
      <c r="C24">
        <v>4.0999999999999996</v>
      </c>
      <c r="D24">
        <v>2.8</v>
      </c>
      <c r="E24">
        <v>2.2999999999999998</v>
      </c>
      <c r="F24">
        <v>2.1</v>
      </c>
      <c r="G24">
        <v>2</v>
      </c>
      <c r="H24">
        <v>2</v>
      </c>
      <c r="I24">
        <v>1.7</v>
      </c>
      <c r="J24">
        <f t="shared" si="0"/>
        <v>-2.9000000000000004</v>
      </c>
    </row>
    <row r="25" spans="1:10" x14ac:dyDescent="0.35">
      <c r="A25" t="s">
        <v>35</v>
      </c>
      <c r="B25">
        <v>1.4</v>
      </c>
      <c r="C25">
        <v>1.3</v>
      </c>
      <c r="D25">
        <v>0.9</v>
      </c>
      <c r="E25">
        <v>0.7</v>
      </c>
      <c r="F25">
        <v>0.5</v>
      </c>
      <c r="G25">
        <v>0.4</v>
      </c>
      <c r="H25">
        <v>0.1</v>
      </c>
      <c r="I25">
        <v>0.1</v>
      </c>
      <c r="J25">
        <f t="shared" si="0"/>
        <v>-1.2999999999999998</v>
      </c>
    </row>
    <row r="26" spans="1:10" x14ac:dyDescent="0.35">
      <c r="A26" t="s">
        <v>64</v>
      </c>
      <c r="B26">
        <v>12.5</v>
      </c>
      <c r="C26">
        <v>10.9</v>
      </c>
      <c r="D26">
        <v>8.8000000000000007</v>
      </c>
      <c r="E26">
        <v>7.2</v>
      </c>
      <c r="F26">
        <v>6.5</v>
      </c>
      <c r="G26">
        <v>5.9</v>
      </c>
      <c r="H26">
        <v>3.8</v>
      </c>
      <c r="I26">
        <v>2.9</v>
      </c>
      <c r="J26">
        <f t="shared" si="0"/>
        <v>-8.6999999999999993</v>
      </c>
    </row>
    <row r="27" spans="1:10" x14ac:dyDescent="0.35">
      <c r="A27" t="s">
        <v>39</v>
      </c>
      <c r="B27">
        <v>3.6</v>
      </c>
      <c r="C27">
        <v>3.1</v>
      </c>
      <c r="D27">
        <v>2.2999999999999998</v>
      </c>
      <c r="E27">
        <v>2</v>
      </c>
      <c r="F27">
        <v>1.8</v>
      </c>
      <c r="G27">
        <v>1.7</v>
      </c>
      <c r="H27">
        <v>1.1000000000000001</v>
      </c>
      <c r="I27">
        <v>0.7</v>
      </c>
      <c r="J27">
        <f t="shared" si="0"/>
        <v>-2.5</v>
      </c>
    </row>
    <row r="28" spans="1:10" x14ac:dyDescent="0.35">
      <c r="A28" t="s">
        <v>40</v>
      </c>
      <c r="B28">
        <v>2.1</v>
      </c>
      <c r="C28">
        <v>1.9</v>
      </c>
      <c r="D28">
        <v>1.4</v>
      </c>
      <c r="E28">
        <v>1.2</v>
      </c>
      <c r="F28">
        <v>0.9</v>
      </c>
      <c r="G28">
        <v>0.8</v>
      </c>
      <c r="H28">
        <v>0.6</v>
      </c>
      <c r="I28">
        <v>0.3</v>
      </c>
      <c r="J28">
        <f t="shared" si="0"/>
        <v>-1.5</v>
      </c>
    </row>
    <row r="29" spans="1:10" x14ac:dyDescent="0.35">
      <c r="A29" t="s">
        <v>88</v>
      </c>
      <c r="B29">
        <v>0.2</v>
      </c>
      <c r="C29">
        <v>0.1</v>
      </c>
      <c r="D29">
        <v>0.1</v>
      </c>
      <c r="E29">
        <v>0.1</v>
      </c>
      <c r="F29">
        <v>0</v>
      </c>
      <c r="G29">
        <v>0</v>
      </c>
      <c r="H29">
        <v>0</v>
      </c>
      <c r="I29">
        <v>0</v>
      </c>
      <c r="J29">
        <f t="shared" si="0"/>
        <v>-0.2</v>
      </c>
    </row>
    <row r="30" spans="1:10" x14ac:dyDescent="0.35">
      <c r="A30" t="s">
        <v>60</v>
      </c>
      <c r="B30">
        <v>17.8</v>
      </c>
      <c r="C30">
        <v>15.4</v>
      </c>
      <c r="D30">
        <v>12.7</v>
      </c>
      <c r="E30">
        <v>10.5</v>
      </c>
      <c r="F30">
        <v>9.1</v>
      </c>
      <c r="G30">
        <v>8.1999999999999993</v>
      </c>
      <c r="H30">
        <v>7.9</v>
      </c>
      <c r="I30">
        <v>6</v>
      </c>
      <c r="J30">
        <f t="shared" si="0"/>
        <v>-9.9</v>
      </c>
    </row>
    <row r="31" spans="1:10" x14ac:dyDescent="0.35">
      <c r="A31" t="s">
        <v>41</v>
      </c>
      <c r="B31">
        <v>4.2</v>
      </c>
      <c r="C31">
        <v>3.7</v>
      </c>
      <c r="D31">
        <v>2.8</v>
      </c>
      <c r="E31">
        <v>2.2999999999999998</v>
      </c>
      <c r="F31">
        <v>1.9</v>
      </c>
      <c r="G31">
        <v>1.8</v>
      </c>
      <c r="H31">
        <v>1.7</v>
      </c>
      <c r="I31">
        <v>1.5</v>
      </c>
      <c r="J31">
        <f t="shared" si="0"/>
        <v>-2.5</v>
      </c>
    </row>
    <row r="32" spans="1:10" x14ac:dyDescent="0.35">
      <c r="A32" t="s">
        <v>73</v>
      </c>
      <c r="B32">
        <v>5.9</v>
      </c>
      <c r="C32">
        <v>5</v>
      </c>
      <c r="D32">
        <v>3.7</v>
      </c>
      <c r="E32">
        <v>3</v>
      </c>
      <c r="F32">
        <v>2.5</v>
      </c>
      <c r="G32">
        <v>2.2000000000000002</v>
      </c>
      <c r="H32">
        <v>3.1</v>
      </c>
      <c r="I32">
        <v>2.4</v>
      </c>
      <c r="J32">
        <f t="shared" si="0"/>
        <v>-2.8000000000000003</v>
      </c>
    </row>
    <row r="33" spans="1:10" x14ac:dyDescent="0.35">
      <c r="A33" t="s">
        <v>77</v>
      </c>
      <c r="B33">
        <v>34</v>
      </c>
      <c r="C33">
        <v>31.9</v>
      </c>
      <c r="D33">
        <v>27.5</v>
      </c>
      <c r="E33">
        <v>24.1</v>
      </c>
      <c r="F33">
        <v>22</v>
      </c>
      <c r="G33">
        <v>20.6</v>
      </c>
      <c r="H33">
        <v>19.3</v>
      </c>
      <c r="I33">
        <v>16</v>
      </c>
      <c r="J33">
        <f t="shared" si="0"/>
        <v>-14.7</v>
      </c>
    </row>
    <row r="34" spans="1:10" x14ac:dyDescent="0.35">
      <c r="A34" t="s">
        <v>58</v>
      </c>
      <c r="B34">
        <v>44.3</v>
      </c>
      <c r="C34">
        <v>41.6</v>
      </c>
      <c r="D34">
        <v>37.1</v>
      </c>
      <c r="E34">
        <v>33</v>
      </c>
      <c r="F34">
        <v>30.8</v>
      </c>
      <c r="G34">
        <v>27.9</v>
      </c>
      <c r="H34">
        <v>30.3</v>
      </c>
      <c r="I34">
        <v>28.1</v>
      </c>
      <c r="J34">
        <f t="shared" si="0"/>
        <v>-13.999999999999996</v>
      </c>
    </row>
    <row r="35" spans="1:10" x14ac:dyDescent="0.35">
      <c r="A35" t="s">
        <v>81</v>
      </c>
      <c r="B35">
        <v>8.1</v>
      </c>
      <c r="C35">
        <v>6.9</v>
      </c>
      <c r="D35">
        <v>5.8</v>
      </c>
      <c r="E35">
        <v>4.8</v>
      </c>
      <c r="F35">
        <v>4</v>
      </c>
      <c r="G35">
        <v>3.3</v>
      </c>
      <c r="H35">
        <v>3.6</v>
      </c>
      <c r="I35">
        <v>2.9</v>
      </c>
      <c r="J35">
        <f t="shared" si="0"/>
        <v>-4.5</v>
      </c>
    </row>
    <row r="36" spans="1:10" x14ac:dyDescent="0.35">
      <c r="A36" t="s">
        <v>54</v>
      </c>
      <c r="B36">
        <v>23.5</v>
      </c>
      <c r="C36">
        <v>20.6</v>
      </c>
      <c r="D36">
        <v>18.399999999999999</v>
      </c>
      <c r="E36">
        <v>15.9</v>
      </c>
      <c r="F36">
        <v>12.3</v>
      </c>
      <c r="G36">
        <v>10.7</v>
      </c>
      <c r="H36">
        <v>7.9</v>
      </c>
      <c r="I36">
        <v>6.1</v>
      </c>
      <c r="J36">
        <f t="shared" ref="J36:J67" si="1">H36-B36</f>
        <v>-15.6</v>
      </c>
    </row>
    <row r="37" spans="1:10" x14ac:dyDescent="0.35">
      <c r="A37" t="s">
        <v>51</v>
      </c>
      <c r="B37">
        <v>26.4</v>
      </c>
      <c r="C37">
        <v>23.9</v>
      </c>
      <c r="D37">
        <v>20.5</v>
      </c>
      <c r="E37">
        <v>17.2</v>
      </c>
      <c r="F37">
        <v>15.4</v>
      </c>
      <c r="G37">
        <v>14.8</v>
      </c>
      <c r="H37">
        <v>15.6</v>
      </c>
      <c r="I37">
        <v>13.7</v>
      </c>
      <c r="J37">
        <f t="shared" si="1"/>
        <v>-10.799999999999999</v>
      </c>
    </row>
    <row r="38" spans="1:10" x14ac:dyDescent="0.35">
      <c r="A38" t="s">
        <v>90</v>
      </c>
      <c r="B38">
        <v>4.8</v>
      </c>
      <c r="C38">
        <v>4</v>
      </c>
      <c r="D38">
        <v>2.9</v>
      </c>
      <c r="E38">
        <v>2.5</v>
      </c>
      <c r="F38">
        <v>2</v>
      </c>
      <c r="G38">
        <v>1.7</v>
      </c>
      <c r="H38">
        <v>2.2999999999999998</v>
      </c>
      <c r="I38">
        <v>1.7</v>
      </c>
      <c r="J38">
        <f t="shared" si="1"/>
        <v>-2.5</v>
      </c>
    </row>
    <row r="39" spans="1:10" x14ac:dyDescent="0.35">
      <c r="A39" t="s">
        <v>89</v>
      </c>
      <c r="B39">
        <v>8.6</v>
      </c>
      <c r="C39">
        <v>7.4</v>
      </c>
      <c r="D39">
        <v>5.8</v>
      </c>
      <c r="E39">
        <v>4.8</v>
      </c>
      <c r="F39">
        <v>4.2</v>
      </c>
      <c r="G39">
        <v>3.8</v>
      </c>
      <c r="H39">
        <v>4</v>
      </c>
      <c r="I39">
        <v>3.1</v>
      </c>
      <c r="J39">
        <f t="shared" si="1"/>
        <v>-4.5999999999999996</v>
      </c>
    </row>
    <row r="40" spans="1:10" x14ac:dyDescent="0.35">
      <c r="A40" t="s">
        <v>44</v>
      </c>
      <c r="B40">
        <v>4.2</v>
      </c>
      <c r="C40">
        <v>3.6</v>
      </c>
      <c r="D40">
        <v>2.8</v>
      </c>
      <c r="E40">
        <v>2.2999999999999998</v>
      </c>
      <c r="F40">
        <v>2</v>
      </c>
      <c r="G40">
        <v>1.8</v>
      </c>
      <c r="H40">
        <v>1.4</v>
      </c>
      <c r="I40">
        <v>1</v>
      </c>
      <c r="J40">
        <f t="shared" si="1"/>
        <v>-2.8000000000000003</v>
      </c>
    </row>
    <row r="41" spans="1:10" x14ac:dyDescent="0.35">
      <c r="A41" t="s">
        <v>63</v>
      </c>
      <c r="B41">
        <v>17.7</v>
      </c>
      <c r="C41">
        <v>16.399999999999999</v>
      </c>
      <c r="D41">
        <v>13.5</v>
      </c>
      <c r="E41">
        <v>12.1</v>
      </c>
      <c r="F41">
        <v>10.9</v>
      </c>
      <c r="G41">
        <v>9.5</v>
      </c>
      <c r="H41">
        <v>6.2</v>
      </c>
      <c r="I41">
        <v>4.7</v>
      </c>
      <c r="J41">
        <f t="shared" si="1"/>
        <v>-11.5</v>
      </c>
    </row>
    <row r="42" spans="1:10" x14ac:dyDescent="0.35">
      <c r="A42" t="s">
        <v>74</v>
      </c>
      <c r="B42">
        <v>13.4</v>
      </c>
      <c r="C42">
        <v>12.6</v>
      </c>
      <c r="D42">
        <v>11</v>
      </c>
      <c r="E42">
        <v>9.8000000000000007</v>
      </c>
      <c r="F42">
        <v>9</v>
      </c>
      <c r="G42">
        <v>8.4</v>
      </c>
      <c r="H42">
        <v>9.1</v>
      </c>
      <c r="I42">
        <v>8</v>
      </c>
      <c r="J42">
        <f t="shared" si="1"/>
        <v>-4.3000000000000007</v>
      </c>
    </row>
    <row r="43" spans="1:10" x14ac:dyDescent="0.35">
      <c r="A43" t="s">
        <v>45</v>
      </c>
      <c r="B43">
        <v>4.5</v>
      </c>
      <c r="C43">
        <v>3.9</v>
      </c>
      <c r="D43">
        <v>2.8</v>
      </c>
      <c r="E43">
        <v>2.2000000000000002</v>
      </c>
      <c r="F43">
        <v>2.1</v>
      </c>
      <c r="G43">
        <v>2</v>
      </c>
      <c r="H43">
        <v>1.7</v>
      </c>
      <c r="I43">
        <v>1.1000000000000001</v>
      </c>
      <c r="J43">
        <f t="shared" si="1"/>
        <v>-2.8</v>
      </c>
    </row>
    <row r="44" spans="1:10" x14ac:dyDescent="0.35">
      <c r="A44" t="s">
        <v>61</v>
      </c>
      <c r="B44">
        <v>11.6</v>
      </c>
      <c r="C44">
        <v>10.199999999999999</v>
      </c>
      <c r="D44">
        <v>8.6999999999999993</v>
      </c>
      <c r="E44">
        <v>7.4</v>
      </c>
      <c r="F44">
        <v>6.5</v>
      </c>
      <c r="G44">
        <v>5.7</v>
      </c>
      <c r="H44">
        <v>5.2</v>
      </c>
      <c r="I44">
        <v>3.9</v>
      </c>
      <c r="J44">
        <f t="shared" si="1"/>
        <v>-6.3999999999999995</v>
      </c>
    </row>
    <row r="45" spans="1:10" x14ac:dyDescent="0.35">
      <c r="A45" t="s">
        <v>46</v>
      </c>
      <c r="B45">
        <v>23</v>
      </c>
      <c r="C45">
        <v>21</v>
      </c>
      <c r="D45">
        <v>18.399999999999999</v>
      </c>
      <c r="E45">
        <v>16.399999999999999</v>
      </c>
      <c r="F45">
        <v>14.4</v>
      </c>
      <c r="G45">
        <v>13.4</v>
      </c>
      <c r="H45">
        <v>12.8</v>
      </c>
      <c r="I45">
        <v>10.7</v>
      </c>
      <c r="J45">
        <f t="shared" si="1"/>
        <v>-10.199999999999999</v>
      </c>
    </row>
    <row r="46" spans="1:10" x14ac:dyDescent="0.35">
      <c r="A46" t="s">
        <v>56</v>
      </c>
      <c r="B46">
        <v>10.3</v>
      </c>
      <c r="C46">
        <v>9.1999999999999993</v>
      </c>
      <c r="D46">
        <v>7.5</v>
      </c>
      <c r="E46">
        <v>6.5</v>
      </c>
      <c r="F46">
        <v>5.8</v>
      </c>
      <c r="G46">
        <v>5.6</v>
      </c>
      <c r="H46">
        <v>4.0999999999999996</v>
      </c>
      <c r="I46">
        <v>3.7</v>
      </c>
      <c r="J46">
        <f t="shared" si="1"/>
        <v>-6.2000000000000011</v>
      </c>
    </row>
    <row r="47" spans="1:10" x14ac:dyDescent="0.35">
      <c r="A47" t="s">
        <v>72</v>
      </c>
      <c r="B47">
        <v>9.9</v>
      </c>
      <c r="C47">
        <v>8.8000000000000007</v>
      </c>
      <c r="D47">
        <v>7.5</v>
      </c>
      <c r="E47">
        <v>6.3</v>
      </c>
      <c r="F47">
        <v>5.5</v>
      </c>
      <c r="G47">
        <v>5</v>
      </c>
      <c r="H47">
        <v>6.5</v>
      </c>
      <c r="I47">
        <v>5</v>
      </c>
      <c r="J47">
        <f t="shared" si="1"/>
        <v>-3.4000000000000004</v>
      </c>
    </row>
    <row r="48" spans="1:10" x14ac:dyDescent="0.35">
      <c r="A48" t="s">
        <v>69</v>
      </c>
      <c r="B48">
        <v>13.7</v>
      </c>
      <c r="C48">
        <v>12.6</v>
      </c>
      <c r="D48">
        <v>10.3</v>
      </c>
      <c r="E48">
        <v>9.1</v>
      </c>
      <c r="F48">
        <v>8.1</v>
      </c>
      <c r="G48">
        <v>7</v>
      </c>
      <c r="H48">
        <v>7.5</v>
      </c>
      <c r="I48">
        <v>5.4</v>
      </c>
      <c r="J48">
        <f t="shared" si="1"/>
        <v>-6.1999999999999993</v>
      </c>
    </row>
    <row r="49" spans="1:10" x14ac:dyDescent="0.35">
      <c r="A49" t="s">
        <v>70</v>
      </c>
      <c r="B49">
        <v>13.7</v>
      </c>
      <c r="C49">
        <v>12.2</v>
      </c>
      <c r="D49">
        <v>10.1</v>
      </c>
      <c r="E49">
        <v>8.4</v>
      </c>
      <c r="F49">
        <v>7.5</v>
      </c>
      <c r="G49">
        <v>6.8</v>
      </c>
      <c r="H49">
        <v>6.6</v>
      </c>
      <c r="I49">
        <v>5.2</v>
      </c>
      <c r="J49">
        <f t="shared" si="1"/>
        <v>-7.1</v>
      </c>
    </row>
    <row r="50" spans="1:10" x14ac:dyDescent="0.35">
      <c r="A50" t="s">
        <v>65</v>
      </c>
      <c r="B50">
        <v>13.7</v>
      </c>
      <c r="C50">
        <v>12.1</v>
      </c>
      <c r="D50">
        <v>10.8</v>
      </c>
      <c r="E50">
        <v>9.3000000000000007</v>
      </c>
      <c r="F50">
        <v>8.8000000000000007</v>
      </c>
      <c r="G50">
        <v>7.7</v>
      </c>
      <c r="H50">
        <v>6.3</v>
      </c>
      <c r="I50">
        <v>5</v>
      </c>
      <c r="J50">
        <f t="shared" si="1"/>
        <v>-7.3999999999999995</v>
      </c>
    </row>
    <row r="51" spans="1:10" x14ac:dyDescent="0.35">
      <c r="A51" t="s">
        <v>38</v>
      </c>
      <c r="B51">
        <v>4.3</v>
      </c>
      <c r="C51">
        <v>3.8</v>
      </c>
      <c r="D51">
        <v>2.5</v>
      </c>
      <c r="E51">
        <v>2.2000000000000002</v>
      </c>
      <c r="F51">
        <v>2.1</v>
      </c>
      <c r="G51">
        <v>1.8</v>
      </c>
      <c r="H51">
        <v>1.1000000000000001</v>
      </c>
      <c r="I51">
        <v>1.1000000000000001</v>
      </c>
      <c r="J51">
        <f t="shared" si="1"/>
        <v>-3.1999999999999997</v>
      </c>
    </row>
    <row r="52" spans="1:10" x14ac:dyDescent="0.35">
      <c r="A52" t="s">
        <v>66</v>
      </c>
      <c r="B52">
        <v>16.100000000000001</v>
      </c>
      <c r="C52">
        <v>14.3</v>
      </c>
      <c r="D52">
        <v>12.6</v>
      </c>
      <c r="E52">
        <v>10.9</v>
      </c>
      <c r="F52">
        <v>9.1999999999999993</v>
      </c>
      <c r="G52">
        <v>8.1</v>
      </c>
      <c r="H52">
        <v>9.5</v>
      </c>
      <c r="I52">
        <v>7</v>
      </c>
      <c r="J52">
        <f t="shared" si="1"/>
        <v>-6.6000000000000014</v>
      </c>
    </row>
    <row r="53" spans="1:10" x14ac:dyDescent="0.35">
      <c r="A53" t="s">
        <v>34</v>
      </c>
      <c r="B53">
        <v>3.1</v>
      </c>
      <c r="C53">
        <v>2.6</v>
      </c>
      <c r="D53">
        <v>1.9</v>
      </c>
      <c r="E53">
        <v>1.6</v>
      </c>
      <c r="F53">
        <v>1.3</v>
      </c>
      <c r="G53">
        <v>1.2</v>
      </c>
      <c r="H53">
        <v>0.9</v>
      </c>
      <c r="I53">
        <v>0.7</v>
      </c>
      <c r="J53">
        <f t="shared" si="1"/>
        <v>-2.2000000000000002</v>
      </c>
    </row>
    <row r="54" spans="1:10" x14ac:dyDescent="0.35">
      <c r="A54" t="s">
        <v>59</v>
      </c>
      <c r="B54">
        <v>42.8</v>
      </c>
      <c r="C54">
        <v>41</v>
      </c>
      <c r="D54">
        <v>36.299999999999997</v>
      </c>
      <c r="E54">
        <v>33</v>
      </c>
      <c r="F54">
        <v>30.5</v>
      </c>
      <c r="G54">
        <v>28.6</v>
      </c>
      <c r="H54">
        <v>23.9</v>
      </c>
      <c r="I54">
        <v>19.8</v>
      </c>
      <c r="J54">
        <f t="shared" si="1"/>
        <v>-18.899999999999999</v>
      </c>
    </row>
    <row r="55" spans="1:10" x14ac:dyDescent="0.35">
      <c r="A55" t="s">
        <v>82</v>
      </c>
      <c r="B55">
        <v>1</v>
      </c>
      <c r="C55">
        <v>0.9</v>
      </c>
      <c r="D55">
        <v>0.6</v>
      </c>
      <c r="E55">
        <v>0.5</v>
      </c>
      <c r="F55">
        <v>0.3</v>
      </c>
      <c r="G55">
        <v>0.2</v>
      </c>
      <c r="H55">
        <v>0.4</v>
      </c>
      <c r="I55">
        <v>0.3</v>
      </c>
      <c r="J55">
        <f t="shared" si="1"/>
        <v>-0.6</v>
      </c>
    </row>
    <row r="56" spans="1:10" x14ac:dyDescent="0.35">
      <c r="A56" t="s">
        <v>84</v>
      </c>
      <c r="B56">
        <v>2.5</v>
      </c>
      <c r="C56">
        <v>2.2000000000000002</v>
      </c>
      <c r="D56">
        <v>1.7</v>
      </c>
      <c r="E56">
        <v>1.2</v>
      </c>
      <c r="F56">
        <v>1.1000000000000001</v>
      </c>
      <c r="G56">
        <v>0.8</v>
      </c>
      <c r="H56">
        <v>1.2</v>
      </c>
      <c r="I56">
        <v>0.8</v>
      </c>
      <c r="J56">
        <f t="shared" si="1"/>
        <v>-1.3</v>
      </c>
    </row>
    <row r="57" spans="1:10" x14ac:dyDescent="0.35">
      <c r="A57" t="s">
        <v>42</v>
      </c>
      <c r="B57">
        <v>4.7</v>
      </c>
      <c r="C57">
        <v>4</v>
      </c>
      <c r="D57">
        <v>2.9</v>
      </c>
      <c r="E57">
        <v>2.4</v>
      </c>
      <c r="F57">
        <v>2.1</v>
      </c>
      <c r="G57">
        <v>1.9</v>
      </c>
      <c r="H57">
        <v>1.8</v>
      </c>
      <c r="I57">
        <v>1.5</v>
      </c>
      <c r="J57">
        <f t="shared" si="1"/>
        <v>-2.9000000000000004</v>
      </c>
    </row>
    <row r="58" spans="1:10" x14ac:dyDescent="0.35">
      <c r="A58" t="s">
        <v>53</v>
      </c>
      <c r="B58">
        <v>7.8</v>
      </c>
      <c r="C58">
        <v>7.4</v>
      </c>
      <c r="D58">
        <v>6</v>
      </c>
      <c r="E58">
        <v>5.0999999999999996</v>
      </c>
      <c r="F58">
        <v>4.0999999999999996</v>
      </c>
      <c r="G58">
        <v>3.7</v>
      </c>
      <c r="H58">
        <v>2.2000000000000002</v>
      </c>
      <c r="I58">
        <v>1.7</v>
      </c>
      <c r="J58">
        <f t="shared" si="1"/>
        <v>-5.6</v>
      </c>
    </row>
    <row r="59" spans="1:10" x14ac:dyDescent="0.35">
      <c r="A59" t="s">
        <v>62</v>
      </c>
      <c r="B59">
        <v>11.9</v>
      </c>
      <c r="C59">
        <v>10.9</v>
      </c>
      <c r="D59">
        <v>8.8000000000000007</v>
      </c>
      <c r="E59">
        <v>8</v>
      </c>
      <c r="F59">
        <v>7</v>
      </c>
      <c r="G59">
        <v>6.3</v>
      </c>
      <c r="H59">
        <v>5.2</v>
      </c>
      <c r="I59">
        <v>3.9</v>
      </c>
      <c r="J59">
        <f t="shared" si="1"/>
        <v>-6.7</v>
      </c>
    </row>
    <row r="60" spans="1:10" x14ac:dyDescent="0.35">
      <c r="A60" t="s">
        <v>67</v>
      </c>
      <c r="B60">
        <v>7.3</v>
      </c>
      <c r="C60">
        <v>6.5</v>
      </c>
      <c r="D60">
        <v>4.7</v>
      </c>
      <c r="E60">
        <v>4</v>
      </c>
      <c r="F60">
        <v>3.5</v>
      </c>
      <c r="G60">
        <v>3</v>
      </c>
      <c r="H60">
        <v>3.9</v>
      </c>
      <c r="I60">
        <v>3.3</v>
      </c>
      <c r="J60">
        <f t="shared" si="1"/>
        <v>-3.4</v>
      </c>
    </row>
    <row r="61" spans="1:10" x14ac:dyDescent="0.35">
      <c r="A61" t="s">
        <v>91</v>
      </c>
      <c r="B61">
        <v>5.7</v>
      </c>
      <c r="C61">
        <v>4.7</v>
      </c>
      <c r="D61">
        <v>3.2</v>
      </c>
      <c r="E61">
        <v>2.6</v>
      </c>
      <c r="F61">
        <v>2</v>
      </c>
      <c r="G61">
        <v>1.7</v>
      </c>
      <c r="H61">
        <v>2.2999999999999998</v>
      </c>
      <c r="I61">
        <v>1.1000000000000001</v>
      </c>
      <c r="J61">
        <f t="shared" si="1"/>
        <v>-3.4000000000000004</v>
      </c>
    </row>
    <row r="62" spans="1:10" x14ac:dyDescent="0.35">
      <c r="A62" t="s">
        <v>93</v>
      </c>
      <c r="B62">
        <v>13.9</v>
      </c>
      <c r="C62">
        <v>12</v>
      </c>
      <c r="D62">
        <v>9.9</v>
      </c>
      <c r="E62">
        <v>8.4</v>
      </c>
      <c r="F62">
        <v>7.4</v>
      </c>
      <c r="G62">
        <v>6.6</v>
      </c>
      <c r="H62">
        <v>7</v>
      </c>
      <c r="I62">
        <v>6</v>
      </c>
      <c r="J62">
        <f t="shared" si="1"/>
        <v>-6.9</v>
      </c>
    </row>
    <row r="63" spans="1:10" x14ac:dyDescent="0.35">
      <c r="A63" t="s">
        <v>50</v>
      </c>
      <c r="B63">
        <v>22</v>
      </c>
      <c r="C63">
        <v>19.600000000000001</v>
      </c>
      <c r="D63">
        <v>17.5</v>
      </c>
      <c r="E63">
        <v>15.1</v>
      </c>
      <c r="F63">
        <v>12.9</v>
      </c>
      <c r="G63">
        <v>11.9</v>
      </c>
      <c r="H63">
        <v>10.3</v>
      </c>
      <c r="I63">
        <v>7.1</v>
      </c>
      <c r="J63">
        <f t="shared" si="1"/>
        <v>-11.7</v>
      </c>
    </row>
    <row r="64" spans="1:10" x14ac:dyDescent="0.35">
      <c r="A64" t="s">
        <v>94</v>
      </c>
      <c r="B64">
        <v>9.3000000000000007</v>
      </c>
      <c r="C64">
        <v>7.9</v>
      </c>
      <c r="D64">
        <v>6.5</v>
      </c>
      <c r="E64">
        <v>5.8</v>
      </c>
      <c r="F64">
        <v>5.0999999999999996</v>
      </c>
      <c r="G64">
        <v>4.5999999999999996</v>
      </c>
      <c r="H64">
        <v>3.5</v>
      </c>
      <c r="I64">
        <v>2.6</v>
      </c>
      <c r="J64">
        <f t="shared" si="1"/>
        <v>-5.8000000000000007</v>
      </c>
    </row>
    <row r="65" spans="1:10" x14ac:dyDescent="0.35">
      <c r="A65" t="s">
        <v>36</v>
      </c>
      <c r="B65">
        <v>5.0999999999999996</v>
      </c>
      <c r="C65">
        <v>4.5</v>
      </c>
      <c r="D65">
        <v>3.4</v>
      </c>
      <c r="E65">
        <v>2.9</v>
      </c>
      <c r="F65">
        <v>2.5</v>
      </c>
      <c r="G65">
        <v>2.2999999999999998</v>
      </c>
      <c r="H65">
        <v>1</v>
      </c>
      <c r="I65">
        <v>0.7</v>
      </c>
      <c r="J65">
        <f t="shared" si="1"/>
        <v>-4.0999999999999996</v>
      </c>
    </row>
    <row r="66" spans="1:10" x14ac:dyDescent="0.35">
      <c r="A66" t="s">
        <v>33</v>
      </c>
      <c r="B66">
        <v>9.1999999999999993</v>
      </c>
      <c r="C66">
        <v>7.9</v>
      </c>
      <c r="D66">
        <v>6.8</v>
      </c>
      <c r="E66">
        <v>5.7</v>
      </c>
      <c r="F66">
        <v>4.8</v>
      </c>
      <c r="G66">
        <v>4.4000000000000004</v>
      </c>
      <c r="H66">
        <v>4.2</v>
      </c>
      <c r="I66">
        <v>3.4</v>
      </c>
      <c r="J66">
        <f t="shared" si="1"/>
        <v>-4.9999999999999991</v>
      </c>
    </row>
    <row r="67" spans="1:10" x14ac:dyDescent="0.35">
      <c r="A67" t="s">
        <v>52</v>
      </c>
      <c r="B67">
        <v>26.1</v>
      </c>
      <c r="C67">
        <v>23.6</v>
      </c>
      <c r="D67">
        <v>20.3</v>
      </c>
      <c r="E67">
        <v>17.5</v>
      </c>
      <c r="F67">
        <v>15.1</v>
      </c>
      <c r="G67">
        <v>14</v>
      </c>
      <c r="H67">
        <v>16.600000000000001</v>
      </c>
      <c r="I67">
        <v>10.6</v>
      </c>
      <c r="J67">
        <f t="shared" si="1"/>
        <v>-9.5</v>
      </c>
    </row>
  </sheetData>
  <sortState xmlns:xlrd2="http://schemas.microsoft.com/office/spreadsheetml/2017/richdata2" ref="A4:J67">
    <sortCondition ref="A3:A6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98E1-A86F-41AF-9780-3D2070809569}">
  <dimension ref="A1:M73"/>
  <sheetViews>
    <sheetView workbookViewId="0">
      <selection activeCell="A3" sqref="A3:M4"/>
    </sheetView>
  </sheetViews>
  <sheetFormatPr defaultRowHeight="14.5" x14ac:dyDescent="0.35"/>
  <cols>
    <col min="1" max="1" width="34.453125" customWidth="1"/>
  </cols>
  <sheetData>
    <row r="1" spans="1:13" x14ac:dyDescent="0.35">
      <c r="A1" t="s">
        <v>103</v>
      </c>
    </row>
    <row r="3" spans="1:13" x14ac:dyDescent="0.35">
      <c r="A3" t="s">
        <v>32</v>
      </c>
      <c r="B3">
        <v>2010</v>
      </c>
      <c r="C3">
        <v>2012</v>
      </c>
      <c r="D3">
        <v>2013</v>
      </c>
      <c r="E3">
        <v>2014</v>
      </c>
      <c r="F3">
        <v>2015</v>
      </c>
      <c r="G3">
        <v>2016</v>
      </c>
      <c r="H3">
        <v>2017</v>
      </c>
      <c r="I3">
        <v>2018</v>
      </c>
      <c r="J3">
        <v>2019</v>
      </c>
      <c r="K3">
        <v>2020</v>
      </c>
      <c r="L3">
        <v>2021</v>
      </c>
      <c r="M3" t="s">
        <v>2</v>
      </c>
    </row>
    <row r="4" spans="1:13" x14ac:dyDescent="0.35">
      <c r="A4" s="1" t="s">
        <v>104</v>
      </c>
      <c r="B4" s="1">
        <v>15539.3</v>
      </c>
      <c r="C4" s="1">
        <v>18852.900000000001</v>
      </c>
      <c r="D4" s="1">
        <v>24820.6</v>
      </c>
      <c r="E4" s="1">
        <v>27799.4</v>
      </c>
      <c r="F4" s="1">
        <v>30444.1</v>
      </c>
      <c r="G4" s="1">
        <v>32530.3</v>
      </c>
      <c r="H4" s="1">
        <v>36111.800000000003</v>
      </c>
      <c r="I4" s="1">
        <v>40371.199999999997</v>
      </c>
      <c r="J4" s="1">
        <v>44669.9</v>
      </c>
      <c r="K4" s="1">
        <v>16492</v>
      </c>
      <c r="L4" s="1">
        <v>8998.7999999999993</v>
      </c>
      <c r="M4" s="1">
        <v>35453.4</v>
      </c>
    </row>
    <row r="5" spans="1:13" s="1" customFormat="1" x14ac:dyDescent="0.35">
      <c r="A5" t="s">
        <v>96</v>
      </c>
      <c r="B5">
        <v>37.9</v>
      </c>
      <c r="C5">
        <v>27.3</v>
      </c>
      <c r="D5">
        <v>35.6</v>
      </c>
      <c r="E5">
        <v>19.8</v>
      </c>
      <c r="F5">
        <v>26.3</v>
      </c>
      <c r="G5">
        <v>35.5</v>
      </c>
      <c r="H5">
        <v>37.6</v>
      </c>
      <c r="I5">
        <v>42.8</v>
      </c>
      <c r="J5">
        <v>47.3</v>
      </c>
      <c r="K5">
        <v>15.8</v>
      </c>
      <c r="L5">
        <v>8.6</v>
      </c>
      <c r="M5">
        <v>13.6</v>
      </c>
    </row>
    <row r="6" spans="1:13" x14ac:dyDescent="0.35">
      <c r="A6" t="s">
        <v>87</v>
      </c>
      <c r="B6">
        <v>305.8</v>
      </c>
      <c r="C6">
        <v>170.9</v>
      </c>
      <c r="D6">
        <v>228.7</v>
      </c>
      <c r="E6">
        <v>195.2</v>
      </c>
      <c r="F6">
        <v>217.6</v>
      </c>
      <c r="G6">
        <v>263.3</v>
      </c>
      <c r="H6">
        <v>294.7</v>
      </c>
      <c r="I6">
        <v>314.39999999999998</v>
      </c>
      <c r="J6">
        <v>353.3</v>
      </c>
      <c r="K6">
        <v>156.69999999999999</v>
      </c>
      <c r="L6">
        <v>86.9</v>
      </c>
      <c r="M6">
        <v>206</v>
      </c>
    </row>
    <row r="7" spans="1:13" x14ac:dyDescent="0.35">
      <c r="A7" t="s">
        <v>55</v>
      </c>
      <c r="B7">
        <v>6.4</v>
      </c>
      <c r="C7">
        <v>9.3000000000000007</v>
      </c>
      <c r="D7">
        <v>10</v>
      </c>
      <c r="E7">
        <v>11</v>
      </c>
      <c r="F7">
        <v>25.7</v>
      </c>
      <c r="G7">
        <v>34.4</v>
      </c>
      <c r="H7">
        <v>37.299999999999997</v>
      </c>
      <c r="I7">
        <v>40.9</v>
      </c>
      <c r="J7">
        <v>46.6</v>
      </c>
      <c r="K7">
        <v>26.2</v>
      </c>
      <c r="L7">
        <v>8</v>
      </c>
      <c r="M7">
        <v>36.4</v>
      </c>
    </row>
    <row r="8" spans="1:13" x14ac:dyDescent="0.35">
      <c r="A8" t="s">
        <v>49</v>
      </c>
      <c r="B8" t="s">
        <v>7</v>
      </c>
      <c r="C8" t="s">
        <v>7</v>
      </c>
      <c r="D8">
        <v>0.1</v>
      </c>
      <c r="E8">
        <v>0.1</v>
      </c>
      <c r="F8">
        <v>0.2</v>
      </c>
      <c r="G8">
        <v>0</v>
      </c>
      <c r="H8">
        <v>0</v>
      </c>
      <c r="I8">
        <v>0.1</v>
      </c>
      <c r="J8">
        <v>0.1</v>
      </c>
      <c r="K8">
        <v>0.1</v>
      </c>
      <c r="L8">
        <v>0.4</v>
      </c>
      <c r="M8">
        <v>0.8</v>
      </c>
    </row>
    <row r="9" spans="1:13" x14ac:dyDescent="0.35">
      <c r="A9" t="s">
        <v>101</v>
      </c>
      <c r="B9" t="s">
        <v>7</v>
      </c>
      <c r="C9" t="s">
        <v>7</v>
      </c>
      <c r="D9" t="s">
        <v>7</v>
      </c>
      <c r="E9" t="s">
        <v>7</v>
      </c>
      <c r="F9" t="s">
        <v>7</v>
      </c>
      <c r="G9">
        <v>3</v>
      </c>
      <c r="H9">
        <v>3.4</v>
      </c>
      <c r="I9">
        <v>4.4000000000000004</v>
      </c>
      <c r="J9">
        <v>5</v>
      </c>
      <c r="K9">
        <v>4.4000000000000004</v>
      </c>
      <c r="L9">
        <v>2.2999999999999998</v>
      </c>
      <c r="M9">
        <v>10.7</v>
      </c>
    </row>
    <row r="10" spans="1:13" x14ac:dyDescent="0.35">
      <c r="A10" t="s">
        <v>37</v>
      </c>
      <c r="B10">
        <v>2.2000000000000002</v>
      </c>
      <c r="C10">
        <v>3</v>
      </c>
      <c r="D10">
        <v>4.9000000000000004</v>
      </c>
      <c r="E10">
        <v>5.4</v>
      </c>
      <c r="F10">
        <v>12.3</v>
      </c>
      <c r="G10">
        <v>17.8</v>
      </c>
      <c r="H10">
        <v>20</v>
      </c>
      <c r="I10">
        <v>23</v>
      </c>
      <c r="J10">
        <v>25</v>
      </c>
      <c r="K10">
        <v>10.9</v>
      </c>
      <c r="L10">
        <v>2</v>
      </c>
      <c r="M10">
        <v>33.299999999999997</v>
      </c>
    </row>
    <row r="11" spans="1:13" x14ac:dyDescent="0.35">
      <c r="A11" t="s">
        <v>92</v>
      </c>
      <c r="B11">
        <v>22.8</v>
      </c>
      <c r="C11">
        <v>35.1</v>
      </c>
      <c r="D11">
        <v>42.3</v>
      </c>
      <c r="E11">
        <v>46.6</v>
      </c>
      <c r="F11">
        <v>50.5</v>
      </c>
      <c r="G11">
        <v>57.4</v>
      </c>
      <c r="H11">
        <v>60.9</v>
      </c>
      <c r="I11">
        <v>65</v>
      </c>
      <c r="J11">
        <v>72.2</v>
      </c>
      <c r="K11">
        <v>45.1</v>
      </c>
      <c r="L11">
        <v>24.2</v>
      </c>
      <c r="M11">
        <v>66.900000000000006</v>
      </c>
    </row>
    <row r="12" spans="1:13" x14ac:dyDescent="0.35">
      <c r="A12" t="s">
        <v>106</v>
      </c>
      <c r="B12">
        <v>152.69999999999999</v>
      </c>
      <c r="C12">
        <v>205.6</v>
      </c>
      <c r="D12">
        <v>198.7</v>
      </c>
      <c r="E12">
        <v>30.9</v>
      </c>
      <c r="F12">
        <v>26.7</v>
      </c>
      <c r="G12">
        <v>77.3</v>
      </c>
      <c r="H12">
        <v>85.9</v>
      </c>
      <c r="I12">
        <v>101.2</v>
      </c>
      <c r="J12">
        <v>126.8</v>
      </c>
      <c r="K12">
        <v>45.8</v>
      </c>
      <c r="L12">
        <v>35.6</v>
      </c>
      <c r="M12">
        <v>65</v>
      </c>
    </row>
    <row r="13" spans="1:13" x14ac:dyDescent="0.35">
      <c r="A13" t="s">
        <v>71</v>
      </c>
      <c r="B13">
        <v>14.9</v>
      </c>
      <c r="C13">
        <v>24.8</v>
      </c>
      <c r="D13">
        <v>26.1</v>
      </c>
      <c r="E13">
        <v>30.4</v>
      </c>
      <c r="F13">
        <v>32.4</v>
      </c>
      <c r="G13">
        <v>37.299999999999997</v>
      </c>
      <c r="H13">
        <v>45.2</v>
      </c>
      <c r="I13">
        <v>50.9</v>
      </c>
      <c r="J13">
        <v>59.2</v>
      </c>
      <c r="K13">
        <v>36.5</v>
      </c>
      <c r="L13">
        <v>17.8</v>
      </c>
      <c r="M13">
        <v>167.2</v>
      </c>
    </row>
    <row r="14" spans="1:13" x14ac:dyDescent="0.35">
      <c r="A14" t="s">
        <v>83</v>
      </c>
      <c r="B14">
        <v>2.2999999999999998</v>
      </c>
      <c r="C14">
        <v>0.9</v>
      </c>
      <c r="D14">
        <v>3</v>
      </c>
      <c r="E14">
        <v>4.0999999999999996</v>
      </c>
      <c r="F14">
        <v>5.5</v>
      </c>
      <c r="G14">
        <v>12.4</v>
      </c>
      <c r="H14">
        <v>13.7</v>
      </c>
      <c r="I14">
        <v>13.9</v>
      </c>
      <c r="J14">
        <v>18.2</v>
      </c>
      <c r="K14">
        <v>3.4</v>
      </c>
      <c r="L14">
        <v>2.8</v>
      </c>
      <c r="M14">
        <v>7.4</v>
      </c>
    </row>
    <row r="15" spans="1:13" x14ac:dyDescent="0.35">
      <c r="A15" t="s">
        <v>75</v>
      </c>
      <c r="B15">
        <v>45.9</v>
      </c>
      <c r="C15">
        <v>56.2</v>
      </c>
      <c r="D15">
        <v>61.8</v>
      </c>
      <c r="E15">
        <v>43.8</v>
      </c>
      <c r="F15">
        <v>46.4</v>
      </c>
      <c r="G15">
        <v>49.7</v>
      </c>
      <c r="H15">
        <v>56.6</v>
      </c>
      <c r="I15">
        <v>61.4</v>
      </c>
      <c r="J15">
        <v>67.400000000000006</v>
      </c>
      <c r="K15">
        <v>40</v>
      </c>
      <c r="L15">
        <v>33.5</v>
      </c>
      <c r="M15">
        <v>106</v>
      </c>
    </row>
    <row r="16" spans="1:13" x14ac:dyDescent="0.35">
      <c r="A16" t="s">
        <v>102</v>
      </c>
      <c r="B16">
        <v>8.4</v>
      </c>
      <c r="C16">
        <v>10.6</v>
      </c>
      <c r="D16">
        <v>11.3</v>
      </c>
      <c r="E16">
        <v>12</v>
      </c>
      <c r="F16">
        <v>13.7</v>
      </c>
      <c r="G16">
        <v>15.8</v>
      </c>
      <c r="H16">
        <v>16.8</v>
      </c>
      <c r="I16">
        <v>17.7</v>
      </c>
      <c r="J16">
        <v>20.5</v>
      </c>
      <c r="K16">
        <v>22.6</v>
      </c>
      <c r="L16">
        <v>11.5</v>
      </c>
      <c r="M16">
        <v>29.7</v>
      </c>
    </row>
    <row r="17" spans="1:13" x14ac:dyDescent="0.35">
      <c r="A17" t="s">
        <v>98</v>
      </c>
      <c r="B17">
        <v>102.6</v>
      </c>
      <c r="C17">
        <v>174.1</v>
      </c>
      <c r="D17">
        <v>160.80000000000001</v>
      </c>
      <c r="E17">
        <v>150.19999999999999</v>
      </c>
      <c r="F17">
        <v>131.30000000000001</v>
      </c>
      <c r="G17">
        <v>153.6</v>
      </c>
      <c r="H17">
        <v>168.5</v>
      </c>
      <c r="I17">
        <v>189</v>
      </c>
      <c r="J17">
        <v>214.2</v>
      </c>
      <c r="K17">
        <v>64.3</v>
      </c>
      <c r="L17">
        <v>35.9</v>
      </c>
      <c r="M17">
        <v>176.3</v>
      </c>
    </row>
    <row r="18" spans="1:13" x14ac:dyDescent="0.35">
      <c r="A18" t="s">
        <v>48</v>
      </c>
      <c r="B18">
        <v>2</v>
      </c>
      <c r="C18">
        <v>0.8</v>
      </c>
      <c r="D18">
        <v>2.2000000000000002</v>
      </c>
      <c r="E18">
        <v>4.5</v>
      </c>
      <c r="F18">
        <v>1.8</v>
      </c>
      <c r="G18">
        <v>5.6</v>
      </c>
      <c r="H18">
        <v>6</v>
      </c>
      <c r="I18">
        <v>6.4</v>
      </c>
      <c r="J18">
        <v>7.7</v>
      </c>
      <c r="K18">
        <v>2.9</v>
      </c>
      <c r="L18">
        <v>2.6</v>
      </c>
      <c r="M18">
        <v>5</v>
      </c>
    </row>
    <row r="19" spans="1:13" s="2" customFormat="1" x14ac:dyDescent="0.35">
      <c r="A19" s="2" t="s">
        <v>76</v>
      </c>
      <c r="B19" s="2">
        <v>83.9</v>
      </c>
      <c r="C19" s="2">
        <v>61.5</v>
      </c>
      <c r="D19" s="2">
        <v>84.4</v>
      </c>
      <c r="E19" s="2">
        <v>88.2</v>
      </c>
      <c r="F19" s="2">
        <v>109.2</v>
      </c>
      <c r="G19" s="2">
        <v>105.3</v>
      </c>
      <c r="H19" s="2">
        <v>120</v>
      </c>
      <c r="I19" s="2">
        <v>128.1</v>
      </c>
      <c r="J19" s="2">
        <v>145.1</v>
      </c>
      <c r="K19" s="2">
        <v>62.7</v>
      </c>
      <c r="L19" s="2">
        <v>51</v>
      </c>
      <c r="M19" s="2">
        <v>145.19999999999999</v>
      </c>
    </row>
    <row r="20" spans="1:13" x14ac:dyDescent="0.35">
      <c r="A20" t="s">
        <v>68</v>
      </c>
      <c r="B20">
        <v>379.9</v>
      </c>
      <c r="C20">
        <v>621.4</v>
      </c>
      <c r="D20">
        <v>686.7</v>
      </c>
      <c r="E20">
        <v>987.1</v>
      </c>
      <c r="F20">
        <v>1166.4000000000001</v>
      </c>
      <c r="G20">
        <v>1461.6</v>
      </c>
      <c r="H20">
        <v>1597.2</v>
      </c>
      <c r="I20">
        <v>1905.6</v>
      </c>
      <c r="J20">
        <v>2113.3000000000002</v>
      </c>
      <c r="K20">
        <v>563.79999999999995</v>
      </c>
      <c r="L20">
        <v>635.70000000000005</v>
      </c>
      <c r="M20">
        <v>2267.1</v>
      </c>
    </row>
    <row r="21" spans="1:13" x14ac:dyDescent="0.35">
      <c r="A21" t="s">
        <v>79</v>
      </c>
      <c r="B21">
        <v>8.5</v>
      </c>
      <c r="C21">
        <v>2.5</v>
      </c>
      <c r="D21">
        <v>23.1</v>
      </c>
      <c r="E21">
        <v>27.1</v>
      </c>
      <c r="F21">
        <v>31.8</v>
      </c>
      <c r="G21">
        <v>37.799999999999997</v>
      </c>
      <c r="H21">
        <v>43.4</v>
      </c>
      <c r="I21">
        <v>46.5</v>
      </c>
      <c r="J21">
        <v>53.4</v>
      </c>
      <c r="K21">
        <v>34.4</v>
      </c>
      <c r="L21">
        <v>22.3</v>
      </c>
      <c r="M21">
        <v>51.6</v>
      </c>
    </row>
    <row r="22" spans="1:13" x14ac:dyDescent="0.35">
      <c r="A22" t="s">
        <v>80</v>
      </c>
      <c r="B22">
        <v>0.5</v>
      </c>
      <c r="C22">
        <v>0.3</v>
      </c>
      <c r="D22">
        <v>0.3</v>
      </c>
      <c r="E22">
        <v>0.2</v>
      </c>
      <c r="F22">
        <v>1</v>
      </c>
      <c r="G22">
        <v>0.6</v>
      </c>
      <c r="H22">
        <v>0.7</v>
      </c>
      <c r="I22">
        <v>0.7</v>
      </c>
      <c r="J22">
        <v>0.7</v>
      </c>
      <c r="K22">
        <v>0.3</v>
      </c>
      <c r="L22">
        <v>1.2</v>
      </c>
      <c r="M22">
        <v>7</v>
      </c>
    </row>
    <row r="23" spans="1:13" x14ac:dyDescent="0.35">
      <c r="A23" t="s">
        <v>57</v>
      </c>
      <c r="B23" t="s">
        <v>7</v>
      </c>
      <c r="C23">
        <v>0.9</v>
      </c>
      <c r="D23">
        <v>0.1</v>
      </c>
      <c r="E23" t="s">
        <v>7</v>
      </c>
      <c r="F23" t="s">
        <v>7</v>
      </c>
      <c r="G23" t="s">
        <v>7</v>
      </c>
      <c r="H23" t="s">
        <v>7</v>
      </c>
      <c r="I23" t="s">
        <v>7</v>
      </c>
      <c r="J23" t="s">
        <v>7</v>
      </c>
      <c r="K23">
        <v>1.3</v>
      </c>
      <c r="L23">
        <v>0.8</v>
      </c>
      <c r="M23">
        <v>1</v>
      </c>
    </row>
    <row r="24" spans="1:13" x14ac:dyDescent="0.35">
      <c r="A24" t="s">
        <v>86</v>
      </c>
      <c r="B24">
        <v>27.4</v>
      </c>
      <c r="C24">
        <v>69.7</v>
      </c>
      <c r="D24">
        <v>62.4</v>
      </c>
      <c r="E24">
        <v>68.3</v>
      </c>
      <c r="F24">
        <v>73.099999999999994</v>
      </c>
      <c r="G24">
        <v>91.4</v>
      </c>
      <c r="H24">
        <v>99.2</v>
      </c>
      <c r="I24">
        <v>104.5</v>
      </c>
      <c r="J24">
        <v>113.5</v>
      </c>
      <c r="K24">
        <v>52.8</v>
      </c>
      <c r="L24">
        <v>21.6</v>
      </c>
      <c r="M24">
        <v>32.6</v>
      </c>
    </row>
    <row r="25" spans="1:13" x14ac:dyDescent="0.35">
      <c r="A25" t="s">
        <v>95</v>
      </c>
      <c r="B25">
        <v>10.1</v>
      </c>
      <c r="C25">
        <v>13.5</v>
      </c>
      <c r="D25">
        <v>17</v>
      </c>
      <c r="E25">
        <v>20.6</v>
      </c>
      <c r="F25">
        <v>27.6</v>
      </c>
      <c r="G25">
        <v>33.1</v>
      </c>
      <c r="H25">
        <v>36.200000000000003</v>
      </c>
      <c r="I25">
        <v>39.700000000000003</v>
      </c>
      <c r="J25">
        <v>43.7</v>
      </c>
      <c r="K25">
        <v>16</v>
      </c>
      <c r="L25">
        <v>8.5</v>
      </c>
      <c r="M25">
        <v>23.8</v>
      </c>
    </row>
    <row r="26" spans="1:13" x14ac:dyDescent="0.35">
      <c r="A26" t="s">
        <v>78</v>
      </c>
      <c r="B26">
        <v>11.2</v>
      </c>
      <c r="C26">
        <v>20.3</v>
      </c>
      <c r="D26">
        <v>22.3</v>
      </c>
      <c r="E26">
        <v>25.3</v>
      </c>
      <c r="F26">
        <v>26.2</v>
      </c>
      <c r="G26">
        <v>25.6</v>
      </c>
      <c r="H26">
        <v>28.4</v>
      </c>
      <c r="I26">
        <v>30.8</v>
      </c>
      <c r="J26">
        <v>33.200000000000003</v>
      </c>
      <c r="K26">
        <v>9.1</v>
      </c>
      <c r="L26">
        <v>10.3</v>
      </c>
      <c r="M26">
        <v>29</v>
      </c>
    </row>
    <row r="27" spans="1:13" x14ac:dyDescent="0.35">
      <c r="A27" t="s">
        <v>47</v>
      </c>
      <c r="B27">
        <v>16.100000000000001</v>
      </c>
      <c r="C27">
        <v>25.2</v>
      </c>
      <c r="D27">
        <v>28.5</v>
      </c>
      <c r="E27">
        <v>30.2</v>
      </c>
      <c r="F27">
        <v>35.5</v>
      </c>
      <c r="G27">
        <v>38.799999999999997</v>
      </c>
      <c r="H27">
        <v>43.7</v>
      </c>
      <c r="I27">
        <v>44.6</v>
      </c>
      <c r="J27">
        <v>50.2</v>
      </c>
      <c r="K27">
        <v>23.9</v>
      </c>
      <c r="L27">
        <v>6.4</v>
      </c>
      <c r="M27">
        <v>4.8</v>
      </c>
    </row>
    <row r="28" spans="1:13" x14ac:dyDescent="0.35">
      <c r="A28" t="s">
        <v>43</v>
      </c>
      <c r="B28">
        <v>7.5</v>
      </c>
      <c r="C28">
        <v>10.3</v>
      </c>
      <c r="D28">
        <v>12.2</v>
      </c>
      <c r="E28">
        <v>13.8</v>
      </c>
      <c r="F28">
        <v>15.1</v>
      </c>
      <c r="G28">
        <v>16.899999999999999</v>
      </c>
      <c r="H28">
        <v>19</v>
      </c>
      <c r="I28">
        <v>21.2</v>
      </c>
      <c r="J28">
        <v>23.2</v>
      </c>
      <c r="K28">
        <v>18.899999999999999</v>
      </c>
      <c r="L28">
        <v>9.4</v>
      </c>
      <c r="M28">
        <v>10.5</v>
      </c>
    </row>
    <row r="29" spans="1:13" x14ac:dyDescent="0.35">
      <c r="A29" t="s">
        <v>35</v>
      </c>
      <c r="B29">
        <v>4005.6</v>
      </c>
      <c r="C29">
        <v>3006.6</v>
      </c>
      <c r="D29">
        <v>6764</v>
      </c>
      <c r="E29">
        <v>7482.8</v>
      </c>
      <c r="F29">
        <v>7831.9</v>
      </c>
      <c r="G29">
        <v>8065.3</v>
      </c>
      <c r="H29">
        <v>8465.7999999999993</v>
      </c>
      <c r="I29">
        <v>9273.7000000000007</v>
      </c>
      <c r="J29">
        <v>10145.5</v>
      </c>
      <c r="K29">
        <v>5184.3999999999996</v>
      </c>
      <c r="L29">
        <v>3382</v>
      </c>
      <c r="M29">
        <v>10054.700000000001</v>
      </c>
    </row>
    <row r="30" spans="1:13" x14ac:dyDescent="0.35">
      <c r="A30" t="s">
        <v>64</v>
      </c>
      <c r="B30">
        <v>2.8</v>
      </c>
      <c r="C30">
        <v>5.2</v>
      </c>
      <c r="D30">
        <v>7.8</v>
      </c>
      <c r="E30">
        <v>10.8</v>
      </c>
      <c r="F30">
        <v>16.399999999999999</v>
      </c>
      <c r="G30">
        <v>15.9</v>
      </c>
      <c r="H30">
        <v>21.6</v>
      </c>
      <c r="I30">
        <v>23.4</v>
      </c>
      <c r="J30">
        <v>27</v>
      </c>
      <c r="K30">
        <v>12.2</v>
      </c>
      <c r="L30">
        <v>7.8</v>
      </c>
      <c r="M30">
        <v>11.5</v>
      </c>
    </row>
    <row r="31" spans="1:13" x14ac:dyDescent="0.35">
      <c r="A31" t="s">
        <v>39</v>
      </c>
      <c r="B31">
        <v>8.6999999999999993</v>
      </c>
      <c r="C31">
        <v>11.4</v>
      </c>
      <c r="D31">
        <v>12.7</v>
      </c>
      <c r="E31">
        <v>10.5</v>
      </c>
      <c r="F31">
        <v>10.7</v>
      </c>
      <c r="G31">
        <v>34.200000000000003</v>
      </c>
      <c r="H31">
        <v>37</v>
      </c>
      <c r="I31">
        <v>39.299999999999997</v>
      </c>
      <c r="J31">
        <v>45.4</v>
      </c>
      <c r="K31">
        <v>10.1</v>
      </c>
      <c r="L31">
        <v>4.2</v>
      </c>
      <c r="M31">
        <v>5.6</v>
      </c>
    </row>
    <row r="32" spans="1:13" x14ac:dyDescent="0.35">
      <c r="A32" t="s">
        <v>40</v>
      </c>
      <c r="B32">
        <v>79.2</v>
      </c>
      <c r="C32">
        <v>104.8</v>
      </c>
      <c r="D32">
        <v>120.3</v>
      </c>
      <c r="E32">
        <v>127.4</v>
      </c>
      <c r="F32">
        <v>132.19999999999999</v>
      </c>
      <c r="G32">
        <v>187.7</v>
      </c>
      <c r="H32">
        <v>209.7</v>
      </c>
      <c r="I32">
        <v>232.5</v>
      </c>
      <c r="J32">
        <v>250.7</v>
      </c>
      <c r="K32">
        <v>183.2</v>
      </c>
      <c r="L32">
        <v>89</v>
      </c>
      <c r="M32">
        <v>217</v>
      </c>
    </row>
    <row r="33" spans="1:13" x14ac:dyDescent="0.35">
      <c r="A33" t="s">
        <v>99</v>
      </c>
      <c r="B33" t="s">
        <v>7</v>
      </c>
      <c r="C33" t="s">
        <v>7</v>
      </c>
      <c r="D33">
        <v>4</v>
      </c>
      <c r="E33">
        <v>2.6</v>
      </c>
      <c r="F33">
        <v>1.6</v>
      </c>
      <c r="G33">
        <v>1.2</v>
      </c>
      <c r="H33">
        <v>1.2</v>
      </c>
      <c r="I33">
        <v>0</v>
      </c>
      <c r="J33" t="s">
        <v>7</v>
      </c>
      <c r="K33" t="s">
        <v>7</v>
      </c>
      <c r="L33" t="s">
        <v>7</v>
      </c>
      <c r="M33" t="s">
        <v>7</v>
      </c>
    </row>
    <row r="34" spans="1:13" x14ac:dyDescent="0.35">
      <c r="A34" t="s">
        <v>88</v>
      </c>
      <c r="B34">
        <v>9507.1</v>
      </c>
      <c r="C34">
        <v>13049.5</v>
      </c>
      <c r="D34">
        <v>14850.6</v>
      </c>
      <c r="E34">
        <v>16771.900000000001</v>
      </c>
      <c r="F34">
        <v>18456.3</v>
      </c>
      <c r="G34">
        <v>19097</v>
      </c>
      <c r="H34">
        <v>21580.5</v>
      </c>
      <c r="I34">
        <v>24218.9</v>
      </c>
      <c r="J34">
        <v>26834.5</v>
      </c>
      <c r="K34">
        <v>7996.7</v>
      </c>
      <c r="L34">
        <v>3350.6</v>
      </c>
      <c r="M34">
        <v>17735.8</v>
      </c>
    </row>
    <row r="35" spans="1:13" x14ac:dyDescent="0.35">
      <c r="A35" t="s">
        <v>60</v>
      </c>
      <c r="B35">
        <v>4.3</v>
      </c>
      <c r="C35">
        <v>0.2</v>
      </c>
      <c r="D35" t="s">
        <v>7</v>
      </c>
      <c r="E35" t="s">
        <v>7</v>
      </c>
      <c r="F35">
        <v>1.5</v>
      </c>
      <c r="G35">
        <v>1.8</v>
      </c>
      <c r="H35">
        <v>2</v>
      </c>
      <c r="I35">
        <v>2.2000000000000002</v>
      </c>
      <c r="J35">
        <v>2.4</v>
      </c>
      <c r="K35">
        <v>1.5</v>
      </c>
      <c r="L35">
        <v>0</v>
      </c>
      <c r="M35">
        <v>0</v>
      </c>
    </row>
    <row r="36" spans="1:13" x14ac:dyDescent="0.35">
      <c r="A36" t="s">
        <v>41</v>
      </c>
      <c r="B36">
        <v>1.1000000000000001</v>
      </c>
      <c r="C36">
        <v>1.7</v>
      </c>
      <c r="D36">
        <v>2.2000000000000002</v>
      </c>
      <c r="E36">
        <v>3</v>
      </c>
      <c r="F36">
        <v>3.8</v>
      </c>
      <c r="G36">
        <v>4.5999999999999996</v>
      </c>
      <c r="H36">
        <v>4.5999999999999996</v>
      </c>
      <c r="I36">
        <v>5.6</v>
      </c>
      <c r="J36">
        <v>6.3</v>
      </c>
      <c r="K36">
        <v>4.3</v>
      </c>
      <c r="L36">
        <v>3.4</v>
      </c>
      <c r="M36">
        <v>19.899999999999999</v>
      </c>
    </row>
    <row r="37" spans="1:13" x14ac:dyDescent="0.35">
      <c r="A37" t="s">
        <v>73</v>
      </c>
      <c r="B37">
        <v>124.4</v>
      </c>
      <c r="C37">
        <v>136.9</v>
      </c>
      <c r="D37">
        <v>154.69999999999999</v>
      </c>
      <c r="E37">
        <v>164.5</v>
      </c>
      <c r="F37">
        <v>197.4</v>
      </c>
      <c r="G37">
        <v>290.2</v>
      </c>
      <c r="H37">
        <v>372.8</v>
      </c>
      <c r="I37">
        <v>477.5</v>
      </c>
      <c r="J37">
        <v>544.5</v>
      </c>
      <c r="K37">
        <v>245.1</v>
      </c>
      <c r="L37">
        <v>166.4</v>
      </c>
      <c r="M37">
        <v>1376.5</v>
      </c>
    </row>
    <row r="38" spans="1:13" x14ac:dyDescent="0.35">
      <c r="A38" t="s">
        <v>97</v>
      </c>
      <c r="B38">
        <v>27.2</v>
      </c>
      <c r="C38">
        <v>32.799999999999997</v>
      </c>
      <c r="D38">
        <v>79.400000000000006</v>
      </c>
      <c r="E38">
        <v>95.5</v>
      </c>
      <c r="F38">
        <v>137.69999999999999</v>
      </c>
      <c r="G38">
        <v>239.6</v>
      </c>
      <c r="H38">
        <v>287.5</v>
      </c>
      <c r="I38">
        <v>316.5</v>
      </c>
      <c r="J38">
        <v>348.8</v>
      </c>
      <c r="K38">
        <v>186</v>
      </c>
      <c r="L38">
        <v>166.3</v>
      </c>
      <c r="M38">
        <v>443.9</v>
      </c>
    </row>
    <row r="39" spans="1:13" x14ac:dyDescent="0.35">
      <c r="A39" t="s">
        <v>77</v>
      </c>
      <c r="B39">
        <v>1.4</v>
      </c>
      <c r="C39">
        <v>2.2000000000000002</v>
      </c>
      <c r="D39">
        <v>2</v>
      </c>
      <c r="E39">
        <v>2.8</v>
      </c>
      <c r="F39">
        <v>3</v>
      </c>
      <c r="G39">
        <v>2.2000000000000002</v>
      </c>
      <c r="H39">
        <v>2.6</v>
      </c>
      <c r="I39">
        <v>2.8</v>
      </c>
      <c r="J39">
        <v>3.2</v>
      </c>
      <c r="K39">
        <v>1.5</v>
      </c>
      <c r="L39">
        <v>0.9</v>
      </c>
      <c r="M39">
        <v>1.9</v>
      </c>
    </row>
    <row r="40" spans="1:13" x14ac:dyDescent="0.35">
      <c r="A40" t="s">
        <v>58</v>
      </c>
      <c r="B40" t="s">
        <v>7</v>
      </c>
      <c r="C40" t="s">
        <v>7</v>
      </c>
      <c r="D40" t="s">
        <v>7</v>
      </c>
      <c r="E40">
        <v>1.4</v>
      </c>
      <c r="F40">
        <v>1.6</v>
      </c>
      <c r="G40">
        <v>2.1</v>
      </c>
      <c r="H40">
        <v>2.2000000000000002</v>
      </c>
      <c r="I40">
        <v>2.2000000000000002</v>
      </c>
      <c r="J40">
        <v>2.4</v>
      </c>
      <c r="K40">
        <v>1.5</v>
      </c>
      <c r="L40">
        <v>3.7</v>
      </c>
      <c r="M40">
        <v>4.5</v>
      </c>
    </row>
    <row r="41" spans="1:13" x14ac:dyDescent="0.35">
      <c r="A41" t="s">
        <v>81</v>
      </c>
      <c r="B41">
        <v>62.3</v>
      </c>
      <c r="C41">
        <v>36.200000000000003</v>
      </c>
      <c r="D41">
        <v>36.700000000000003</v>
      </c>
      <c r="E41">
        <v>32.799999999999997</v>
      </c>
      <c r="F41">
        <v>47.2</v>
      </c>
      <c r="G41">
        <v>39.1</v>
      </c>
      <c r="H41">
        <v>44.9</v>
      </c>
      <c r="I41">
        <v>47.3</v>
      </c>
      <c r="J41">
        <v>54.6</v>
      </c>
      <c r="K41">
        <v>17.399999999999999</v>
      </c>
      <c r="L41">
        <v>16.399999999999999</v>
      </c>
      <c r="M41">
        <v>55.8</v>
      </c>
    </row>
    <row r="42" spans="1:13" x14ac:dyDescent="0.35">
      <c r="A42" t="s">
        <v>54</v>
      </c>
      <c r="B42">
        <v>14.7</v>
      </c>
      <c r="C42">
        <v>18.3</v>
      </c>
      <c r="D42">
        <v>13.9</v>
      </c>
      <c r="E42">
        <v>8.5</v>
      </c>
      <c r="F42">
        <v>7.7</v>
      </c>
      <c r="G42">
        <v>7.6</v>
      </c>
      <c r="H42">
        <v>8</v>
      </c>
      <c r="I42">
        <v>8.3000000000000007</v>
      </c>
      <c r="J42">
        <v>9.3000000000000007</v>
      </c>
      <c r="K42">
        <v>2.5</v>
      </c>
      <c r="L42">
        <v>9.1</v>
      </c>
      <c r="M42">
        <v>13.5</v>
      </c>
    </row>
    <row r="43" spans="1:13" x14ac:dyDescent="0.35">
      <c r="A43" t="s">
        <v>51</v>
      </c>
      <c r="B43">
        <v>84</v>
      </c>
      <c r="C43">
        <v>93.7</v>
      </c>
      <c r="D43">
        <v>105.6</v>
      </c>
      <c r="E43">
        <v>110.9</v>
      </c>
      <c r="F43">
        <v>129.9</v>
      </c>
      <c r="G43">
        <v>143.6</v>
      </c>
      <c r="H43">
        <v>162.9</v>
      </c>
      <c r="I43">
        <v>179.1</v>
      </c>
      <c r="J43">
        <v>189</v>
      </c>
      <c r="K43">
        <v>93.6</v>
      </c>
      <c r="L43">
        <v>60</v>
      </c>
      <c r="M43">
        <v>98</v>
      </c>
    </row>
    <row r="44" spans="1:13" x14ac:dyDescent="0.35">
      <c r="A44" t="s">
        <v>90</v>
      </c>
      <c r="B44">
        <v>5.4</v>
      </c>
      <c r="C44">
        <v>9.9</v>
      </c>
      <c r="D44">
        <v>12</v>
      </c>
      <c r="E44">
        <v>14</v>
      </c>
      <c r="F44">
        <v>14</v>
      </c>
      <c r="G44">
        <v>33.4</v>
      </c>
      <c r="H44">
        <v>35.5</v>
      </c>
      <c r="I44">
        <v>38.1</v>
      </c>
      <c r="J44">
        <v>39.5</v>
      </c>
      <c r="K44">
        <v>21.9</v>
      </c>
      <c r="L44">
        <v>16.5</v>
      </c>
      <c r="M44">
        <v>48</v>
      </c>
    </row>
    <row r="45" spans="1:13" x14ac:dyDescent="0.35">
      <c r="A45" s="2" t="s">
        <v>89</v>
      </c>
      <c r="B45" s="2">
        <v>264.8</v>
      </c>
      <c r="C45" s="2">
        <v>381.3</v>
      </c>
      <c r="D45" s="2">
        <v>437</v>
      </c>
      <c r="E45" s="2">
        <v>454</v>
      </c>
      <c r="F45" s="2">
        <v>512.4</v>
      </c>
      <c r="G45" s="2">
        <v>737.5</v>
      </c>
      <c r="H45" s="2">
        <v>824.8</v>
      </c>
      <c r="I45" s="2">
        <v>902.7</v>
      </c>
      <c r="J45" s="2">
        <v>1000.8</v>
      </c>
      <c r="K45" s="2">
        <v>457.7</v>
      </c>
      <c r="L45" s="2">
        <v>314.10000000000002</v>
      </c>
      <c r="M45" s="2">
        <v>957.2</v>
      </c>
    </row>
    <row r="46" spans="1:13" x14ac:dyDescent="0.35">
      <c r="A46" t="s">
        <v>44</v>
      </c>
      <c r="B46">
        <v>5.5</v>
      </c>
      <c r="C46">
        <v>13.4</v>
      </c>
      <c r="D46">
        <v>13.7</v>
      </c>
      <c r="E46">
        <v>13.6</v>
      </c>
      <c r="F46">
        <v>13.9</v>
      </c>
      <c r="G46">
        <v>15.5</v>
      </c>
      <c r="H46">
        <v>16.3</v>
      </c>
      <c r="I46">
        <v>17.5</v>
      </c>
      <c r="J46">
        <v>20.7</v>
      </c>
      <c r="K46">
        <v>11.3</v>
      </c>
      <c r="L46">
        <v>10.199999999999999</v>
      </c>
      <c r="M46">
        <v>16.899999999999999</v>
      </c>
    </row>
    <row r="47" spans="1:13" x14ac:dyDescent="0.35">
      <c r="A47" t="s">
        <v>63</v>
      </c>
      <c r="B47">
        <v>38.1</v>
      </c>
      <c r="C47">
        <v>51.8</v>
      </c>
      <c r="D47">
        <v>48</v>
      </c>
      <c r="E47">
        <v>48.8</v>
      </c>
      <c r="F47">
        <v>53.1</v>
      </c>
      <c r="G47">
        <v>68</v>
      </c>
      <c r="H47">
        <v>88.7</v>
      </c>
      <c r="I47">
        <v>96.5</v>
      </c>
      <c r="J47">
        <v>109.7</v>
      </c>
      <c r="K47">
        <v>52.3</v>
      </c>
      <c r="L47">
        <v>13.3</v>
      </c>
      <c r="M47">
        <v>71.900000000000006</v>
      </c>
    </row>
    <row r="48" spans="1:13" x14ac:dyDescent="0.35">
      <c r="A48" t="s">
        <v>74</v>
      </c>
      <c r="B48">
        <v>2.2000000000000002</v>
      </c>
      <c r="C48">
        <v>2.9</v>
      </c>
      <c r="D48">
        <v>1.7</v>
      </c>
      <c r="E48">
        <v>2.2000000000000002</v>
      </c>
      <c r="F48">
        <v>1.9</v>
      </c>
      <c r="G48">
        <v>2</v>
      </c>
      <c r="H48">
        <v>2.2999999999999998</v>
      </c>
      <c r="I48">
        <v>2.5</v>
      </c>
      <c r="J48">
        <v>2.9</v>
      </c>
      <c r="K48">
        <v>1.4</v>
      </c>
      <c r="L48">
        <v>1.3</v>
      </c>
      <c r="M48">
        <v>7.8</v>
      </c>
    </row>
    <row r="49" spans="1:13" x14ac:dyDescent="0.35">
      <c r="A49" t="s">
        <v>45</v>
      </c>
      <c r="B49">
        <v>4.3</v>
      </c>
      <c r="C49">
        <v>5.5</v>
      </c>
      <c r="D49">
        <v>13.9</v>
      </c>
      <c r="E49">
        <v>18.8</v>
      </c>
      <c r="F49">
        <v>8.5</v>
      </c>
      <c r="G49">
        <v>10.3</v>
      </c>
      <c r="H49">
        <v>12</v>
      </c>
      <c r="I49">
        <v>12.5</v>
      </c>
      <c r="J49">
        <v>13.6</v>
      </c>
      <c r="K49">
        <v>4.4000000000000004</v>
      </c>
      <c r="L49">
        <v>1.9</v>
      </c>
      <c r="M49">
        <v>7.2</v>
      </c>
    </row>
    <row r="50" spans="1:13" x14ac:dyDescent="0.35">
      <c r="A50" s="2" t="s">
        <v>61</v>
      </c>
      <c r="B50" s="2">
        <v>810.8</v>
      </c>
      <c r="C50" s="2">
        <v>1254.5999999999999</v>
      </c>
      <c r="D50" s="2">
        <v>1406.3</v>
      </c>
      <c r="E50" s="2">
        <v>1818.5</v>
      </c>
      <c r="F50" s="2">
        <v>2228.8000000000002</v>
      </c>
      <c r="G50" s="2">
        <v>2764</v>
      </c>
      <c r="H50" s="2">
        <v>3164.3</v>
      </c>
      <c r="I50" s="2">
        <v>3704.5</v>
      </c>
      <c r="J50" s="2">
        <v>4111.5</v>
      </c>
      <c r="K50" s="2">
        <v>1367.3</v>
      </c>
      <c r="L50" s="2">
        <v>1060.9000000000001</v>
      </c>
      <c r="M50" s="2">
        <v>4715.7</v>
      </c>
    </row>
    <row r="51" spans="1:13" x14ac:dyDescent="0.35">
      <c r="A51" s="2" t="s">
        <v>46</v>
      </c>
      <c r="B51" s="2">
        <v>141.69999999999999</v>
      </c>
      <c r="C51" s="2">
        <v>170.5</v>
      </c>
      <c r="D51" s="2">
        <v>187</v>
      </c>
      <c r="E51" s="2">
        <v>205</v>
      </c>
      <c r="F51" s="2">
        <v>253.6</v>
      </c>
      <c r="G51" s="2">
        <v>291.3</v>
      </c>
      <c r="H51" s="2">
        <v>324.89999999999998</v>
      </c>
      <c r="I51" s="2">
        <v>354.8</v>
      </c>
      <c r="J51" s="2">
        <v>387.7</v>
      </c>
      <c r="K51" s="2">
        <v>211.2</v>
      </c>
      <c r="L51" s="2">
        <v>132.9</v>
      </c>
      <c r="M51" s="2">
        <v>494.1</v>
      </c>
    </row>
    <row r="52" spans="1:13" x14ac:dyDescent="0.35">
      <c r="A52" t="s">
        <v>56</v>
      </c>
      <c r="B52">
        <v>4</v>
      </c>
      <c r="C52">
        <v>7</v>
      </c>
      <c r="D52">
        <v>7.7</v>
      </c>
      <c r="E52">
        <v>8.3000000000000007</v>
      </c>
      <c r="F52">
        <v>12.4</v>
      </c>
      <c r="G52">
        <v>13.6</v>
      </c>
      <c r="H52">
        <v>15</v>
      </c>
      <c r="I52">
        <v>16.399999999999999</v>
      </c>
      <c r="J52">
        <v>19.2</v>
      </c>
      <c r="K52">
        <v>17.399999999999999</v>
      </c>
      <c r="L52">
        <v>3.8</v>
      </c>
      <c r="M52">
        <v>141.6</v>
      </c>
    </row>
    <row r="53" spans="1:13" x14ac:dyDescent="0.35">
      <c r="A53" t="s">
        <v>72</v>
      </c>
      <c r="B53">
        <v>1.5</v>
      </c>
      <c r="C53">
        <v>1.5</v>
      </c>
      <c r="D53">
        <v>1.3</v>
      </c>
      <c r="E53">
        <v>1.6</v>
      </c>
      <c r="F53">
        <v>2</v>
      </c>
      <c r="G53">
        <v>3.3</v>
      </c>
      <c r="H53">
        <v>3.7</v>
      </c>
      <c r="I53">
        <v>4.2</v>
      </c>
      <c r="J53">
        <v>4.3</v>
      </c>
      <c r="K53">
        <v>2.1</v>
      </c>
      <c r="L53">
        <v>1.4</v>
      </c>
      <c r="M53">
        <v>9.6999999999999993</v>
      </c>
    </row>
    <row r="54" spans="1:13" x14ac:dyDescent="0.35">
      <c r="A54" t="s">
        <v>69</v>
      </c>
      <c r="B54">
        <v>64.400000000000006</v>
      </c>
      <c r="C54">
        <v>106.7</v>
      </c>
      <c r="D54">
        <v>140.80000000000001</v>
      </c>
      <c r="E54">
        <v>201.1</v>
      </c>
      <c r="F54">
        <v>289.60000000000002</v>
      </c>
      <c r="G54">
        <v>364.9</v>
      </c>
      <c r="H54">
        <v>414</v>
      </c>
      <c r="I54">
        <v>439</v>
      </c>
      <c r="J54">
        <v>476.3</v>
      </c>
      <c r="K54">
        <v>93</v>
      </c>
      <c r="L54">
        <v>75.3</v>
      </c>
      <c r="M54">
        <v>139.80000000000001</v>
      </c>
    </row>
    <row r="55" spans="1:13" x14ac:dyDescent="0.35">
      <c r="A55" t="s">
        <v>70</v>
      </c>
      <c r="B55">
        <v>2.5</v>
      </c>
      <c r="C55">
        <v>4.4000000000000004</v>
      </c>
      <c r="D55">
        <v>5</v>
      </c>
      <c r="E55">
        <v>5.2</v>
      </c>
      <c r="F55">
        <v>6.1</v>
      </c>
      <c r="G55">
        <v>7.9</v>
      </c>
      <c r="H55">
        <v>8.6999999999999993</v>
      </c>
      <c r="I55">
        <v>9.3000000000000007</v>
      </c>
      <c r="J55">
        <v>10.9</v>
      </c>
      <c r="K55">
        <v>4.4000000000000004</v>
      </c>
      <c r="L55">
        <v>2.6</v>
      </c>
      <c r="M55">
        <v>11.9</v>
      </c>
    </row>
    <row r="56" spans="1:13" x14ac:dyDescent="0.35">
      <c r="A56" t="s">
        <v>65</v>
      </c>
      <c r="B56">
        <v>15.8</v>
      </c>
      <c r="C56">
        <v>54.3</v>
      </c>
      <c r="D56">
        <v>59.2</v>
      </c>
      <c r="E56">
        <v>94.6</v>
      </c>
      <c r="F56">
        <v>179.9</v>
      </c>
      <c r="G56">
        <v>168.6</v>
      </c>
      <c r="H56">
        <v>232.7</v>
      </c>
      <c r="I56">
        <v>284.2</v>
      </c>
      <c r="J56">
        <v>300.3</v>
      </c>
      <c r="K56">
        <v>125.4</v>
      </c>
      <c r="L56">
        <v>52.4</v>
      </c>
      <c r="M56">
        <v>230.6</v>
      </c>
    </row>
    <row r="57" spans="1:13" x14ac:dyDescent="0.35">
      <c r="A57" t="s">
        <v>38</v>
      </c>
      <c r="B57">
        <v>103.8</v>
      </c>
      <c r="C57">
        <v>311</v>
      </c>
      <c r="D57">
        <v>358.6</v>
      </c>
      <c r="E57">
        <v>391.7</v>
      </c>
      <c r="F57">
        <v>434.8</v>
      </c>
      <c r="G57">
        <v>629.9</v>
      </c>
      <c r="H57">
        <v>703.5</v>
      </c>
      <c r="I57">
        <v>783</v>
      </c>
      <c r="J57">
        <v>916.7</v>
      </c>
      <c r="K57">
        <v>622.29999999999995</v>
      </c>
      <c r="L57">
        <v>390.7</v>
      </c>
      <c r="M57">
        <v>608.5</v>
      </c>
    </row>
    <row r="58" spans="1:13" x14ac:dyDescent="0.35">
      <c r="A58" t="s">
        <v>66</v>
      </c>
      <c r="B58">
        <v>15.5</v>
      </c>
      <c r="C58">
        <v>34.4</v>
      </c>
      <c r="D58">
        <v>34</v>
      </c>
      <c r="E58">
        <v>27</v>
      </c>
      <c r="F58">
        <v>29.2</v>
      </c>
      <c r="G58">
        <v>29.8</v>
      </c>
      <c r="H58">
        <v>33.5</v>
      </c>
      <c r="I58">
        <v>35.6</v>
      </c>
      <c r="J58">
        <v>37.9</v>
      </c>
      <c r="K58">
        <v>6.7</v>
      </c>
      <c r="L58">
        <v>6.5</v>
      </c>
      <c r="M58">
        <v>11.7</v>
      </c>
    </row>
    <row r="59" spans="1:13" x14ac:dyDescent="0.35">
      <c r="A59" s="2" t="s">
        <v>34</v>
      </c>
      <c r="B59" s="2">
        <v>4226</v>
      </c>
      <c r="C59" s="2">
        <v>3479.2</v>
      </c>
      <c r="D59" s="2">
        <v>7347.1</v>
      </c>
      <c r="E59" s="2">
        <v>8140.8</v>
      </c>
      <c r="F59" s="2">
        <v>8543</v>
      </c>
      <c r="G59" s="2">
        <v>9071.7999999999993</v>
      </c>
      <c r="H59" s="2">
        <v>9583.6</v>
      </c>
      <c r="I59" s="2">
        <v>10507.4</v>
      </c>
      <c r="J59" s="2">
        <v>11556.1</v>
      </c>
      <c r="K59" s="2">
        <v>6128.3</v>
      </c>
      <c r="L59" s="2">
        <v>3938.1</v>
      </c>
      <c r="M59" s="2">
        <v>11087.8</v>
      </c>
    </row>
    <row r="60" spans="1:13" x14ac:dyDescent="0.35">
      <c r="A60" t="s">
        <v>100</v>
      </c>
      <c r="B60">
        <v>1.3</v>
      </c>
      <c r="C60">
        <v>1.3</v>
      </c>
      <c r="D60">
        <v>0.5</v>
      </c>
      <c r="E60">
        <v>0.7</v>
      </c>
      <c r="F60">
        <v>0.8</v>
      </c>
      <c r="G60">
        <v>8.1999999999999993</v>
      </c>
      <c r="H60">
        <v>9.1</v>
      </c>
      <c r="I60">
        <v>10.199999999999999</v>
      </c>
      <c r="J60">
        <v>11.4</v>
      </c>
      <c r="K60">
        <v>7.8</v>
      </c>
      <c r="L60">
        <v>3.7</v>
      </c>
      <c r="M60">
        <v>18.8</v>
      </c>
    </row>
    <row r="61" spans="1:13" x14ac:dyDescent="0.35">
      <c r="A61" t="s">
        <v>59</v>
      </c>
      <c r="B61" t="s">
        <v>7</v>
      </c>
      <c r="C61">
        <v>0.1</v>
      </c>
      <c r="D61">
        <v>1.2</v>
      </c>
      <c r="E61">
        <v>11.1</v>
      </c>
      <c r="F61">
        <v>15.1</v>
      </c>
      <c r="G61">
        <v>12.9</v>
      </c>
      <c r="H61">
        <v>14</v>
      </c>
      <c r="I61">
        <v>14.6</v>
      </c>
      <c r="J61">
        <v>15</v>
      </c>
      <c r="K61">
        <v>14.8</v>
      </c>
      <c r="L61">
        <v>6.6</v>
      </c>
      <c r="M61">
        <v>13.6</v>
      </c>
    </row>
    <row r="62" spans="1:13" x14ac:dyDescent="0.35">
      <c r="A62" t="s">
        <v>84</v>
      </c>
      <c r="B62">
        <v>16.8</v>
      </c>
      <c r="C62">
        <v>9.1999999999999993</v>
      </c>
      <c r="D62">
        <v>15.4</v>
      </c>
      <c r="E62">
        <v>22.5</v>
      </c>
      <c r="F62">
        <v>17.899999999999999</v>
      </c>
      <c r="G62">
        <v>19</v>
      </c>
      <c r="H62">
        <v>20.2</v>
      </c>
      <c r="I62">
        <v>20.8</v>
      </c>
      <c r="J62">
        <v>22.4</v>
      </c>
      <c r="K62">
        <v>9.4</v>
      </c>
      <c r="L62">
        <v>4.4000000000000004</v>
      </c>
      <c r="M62">
        <v>6.6</v>
      </c>
    </row>
    <row r="63" spans="1:13" x14ac:dyDescent="0.35">
      <c r="A63" t="s">
        <v>105</v>
      </c>
      <c r="B63">
        <v>7.9</v>
      </c>
      <c r="C63">
        <v>13.2</v>
      </c>
      <c r="D63">
        <v>14.5</v>
      </c>
      <c r="E63">
        <v>15.8</v>
      </c>
      <c r="F63">
        <v>18.600000000000001</v>
      </c>
      <c r="G63">
        <v>25.3</v>
      </c>
      <c r="H63">
        <v>27.7</v>
      </c>
      <c r="I63">
        <v>32.4</v>
      </c>
      <c r="J63">
        <v>36.700000000000003</v>
      </c>
      <c r="K63">
        <v>18</v>
      </c>
      <c r="L63">
        <v>29.7</v>
      </c>
      <c r="M63">
        <v>170.8</v>
      </c>
    </row>
    <row r="64" spans="1:13" x14ac:dyDescent="0.35">
      <c r="A64" t="s">
        <v>42</v>
      </c>
      <c r="B64">
        <v>1.5</v>
      </c>
      <c r="C64">
        <v>0.9</v>
      </c>
      <c r="D64">
        <v>4</v>
      </c>
      <c r="E64">
        <v>5.8</v>
      </c>
      <c r="F64">
        <v>8.3000000000000007</v>
      </c>
      <c r="G64">
        <v>11.2</v>
      </c>
      <c r="H64">
        <v>12</v>
      </c>
      <c r="I64">
        <v>12.4</v>
      </c>
      <c r="J64">
        <v>12.7</v>
      </c>
      <c r="K64">
        <v>4.5999999999999996</v>
      </c>
      <c r="L64">
        <v>0.5</v>
      </c>
      <c r="M64">
        <v>13.4</v>
      </c>
    </row>
    <row r="65" spans="1:13" x14ac:dyDescent="0.35">
      <c r="A65" t="s">
        <v>62</v>
      </c>
      <c r="B65">
        <v>21.5</v>
      </c>
      <c r="C65">
        <v>43.3</v>
      </c>
      <c r="D65">
        <v>50.1</v>
      </c>
      <c r="E65">
        <v>60</v>
      </c>
      <c r="F65">
        <v>73.099999999999994</v>
      </c>
      <c r="G65">
        <v>88.1</v>
      </c>
      <c r="H65">
        <v>97.2</v>
      </c>
      <c r="I65">
        <v>108.6</v>
      </c>
      <c r="J65">
        <v>119</v>
      </c>
      <c r="K65">
        <v>80.2</v>
      </c>
      <c r="L65">
        <v>25.8</v>
      </c>
      <c r="M65">
        <v>176.3</v>
      </c>
    </row>
    <row r="66" spans="1:13" x14ac:dyDescent="0.35">
      <c r="A66" t="s">
        <v>67</v>
      </c>
      <c r="B66">
        <v>81.400000000000006</v>
      </c>
      <c r="C66">
        <v>110.8</v>
      </c>
      <c r="D66">
        <v>129.1</v>
      </c>
      <c r="E66">
        <v>141.4</v>
      </c>
      <c r="F66">
        <v>134.9</v>
      </c>
      <c r="G66">
        <v>176.7</v>
      </c>
      <c r="H66">
        <v>190.1</v>
      </c>
      <c r="I66">
        <v>205.8</v>
      </c>
      <c r="J66">
        <v>238.8</v>
      </c>
      <c r="K66">
        <v>104.2</v>
      </c>
      <c r="L66">
        <v>21</v>
      </c>
      <c r="M66">
        <v>127.7</v>
      </c>
    </row>
    <row r="67" spans="1:13" x14ac:dyDescent="0.35">
      <c r="A67" t="s">
        <v>91</v>
      </c>
      <c r="B67">
        <v>28.6</v>
      </c>
      <c r="C67">
        <v>49.8</v>
      </c>
      <c r="D67">
        <v>48.1</v>
      </c>
      <c r="E67">
        <v>54.4</v>
      </c>
      <c r="F67">
        <v>61.4</v>
      </c>
      <c r="G67">
        <v>98.4</v>
      </c>
      <c r="H67">
        <v>107.5</v>
      </c>
      <c r="I67">
        <v>115.1</v>
      </c>
      <c r="J67">
        <v>127.1</v>
      </c>
      <c r="K67">
        <v>33.1</v>
      </c>
      <c r="L67">
        <v>6.9</v>
      </c>
      <c r="M67">
        <v>55.4</v>
      </c>
    </row>
    <row r="68" spans="1:13" x14ac:dyDescent="0.35">
      <c r="A68" t="s">
        <v>93</v>
      </c>
      <c r="B68">
        <v>5.5</v>
      </c>
      <c r="C68">
        <v>8.6</v>
      </c>
      <c r="D68">
        <v>6.1</v>
      </c>
      <c r="E68">
        <v>8.8000000000000007</v>
      </c>
      <c r="F68">
        <v>18.399999999999999</v>
      </c>
      <c r="G68">
        <v>21.6</v>
      </c>
      <c r="H68">
        <v>22.6</v>
      </c>
      <c r="I68">
        <v>23.9</v>
      </c>
      <c r="J68">
        <v>27.6</v>
      </c>
      <c r="K68">
        <v>16.100000000000001</v>
      </c>
      <c r="L68">
        <v>13.9</v>
      </c>
      <c r="M68">
        <v>28.2</v>
      </c>
    </row>
    <row r="69" spans="1:13" x14ac:dyDescent="0.35">
      <c r="A69" t="s">
        <v>50</v>
      </c>
      <c r="B69">
        <v>2</v>
      </c>
      <c r="C69">
        <v>1.4</v>
      </c>
      <c r="D69">
        <v>2.5</v>
      </c>
      <c r="E69">
        <v>2.7</v>
      </c>
      <c r="F69">
        <v>3.6</v>
      </c>
      <c r="G69">
        <v>4.2</v>
      </c>
      <c r="H69">
        <v>4.5999999999999996</v>
      </c>
      <c r="I69">
        <v>4.9000000000000004</v>
      </c>
      <c r="J69">
        <v>6.1</v>
      </c>
      <c r="K69">
        <v>6</v>
      </c>
      <c r="L69">
        <v>1</v>
      </c>
      <c r="M69">
        <v>2.6</v>
      </c>
    </row>
    <row r="70" spans="1:13" x14ac:dyDescent="0.35">
      <c r="A70" t="s">
        <v>94</v>
      </c>
      <c r="B70">
        <v>15</v>
      </c>
      <c r="C70">
        <v>18.3</v>
      </c>
      <c r="D70">
        <v>19.899999999999999</v>
      </c>
      <c r="E70">
        <v>28.8</v>
      </c>
      <c r="F70">
        <v>29.1</v>
      </c>
      <c r="G70">
        <v>36.700000000000003</v>
      </c>
      <c r="H70">
        <v>38</v>
      </c>
      <c r="I70">
        <v>40.299999999999997</v>
      </c>
      <c r="J70">
        <v>43.5</v>
      </c>
      <c r="K70">
        <v>24.6</v>
      </c>
      <c r="L70">
        <v>15.9</v>
      </c>
      <c r="M70">
        <v>42</v>
      </c>
    </row>
    <row r="71" spans="1:13" x14ac:dyDescent="0.35">
      <c r="A71" t="s">
        <v>36</v>
      </c>
      <c r="B71">
        <v>6.6</v>
      </c>
      <c r="C71">
        <v>10.6</v>
      </c>
      <c r="D71">
        <v>40.6</v>
      </c>
      <c r="E71">
        <v>68</v>
      </c>
      <c r="F71">
        <v>71.5</v>
      </c>
      <c r="G71">
        <v>78.400000000000006</v>
      </c>
      <c r="H71">
        <v>83.7</v>
      </c>
      <c r="I71">
        <v>86.7</v>
      </c>
      <c r="J71">
        <v>96.3</v>
      </c>
      <c r="K71">
        <v>73.900000000000006</v>
      </c>
      <c r="L71">
        <v>44.7</v>
      </c>
      <c r="M71">
        <v>100.9</v>
      </c>
    </row>
    <row r="72" spans="1:13" x14ac:dyDescent="0.35">
      <c r="A72" t="s">
        <v>52</v>
      </c>
      <c r="B72">
        <v>0.3</v>
      </c>
      <c r="C72">
        <v>0.4</v>
      </c>
      <c r="D72">
        <v>0.7</v>
      </c>
      <c r="E72">
        <v>0.5</v>
      </c>
      <c r="F72" t="s">
        <v>7</v>
      </c>
      <c r="G72">
        <v>1.4</v>
      </c>
      <c r="H72">
        <v>1.5</v>
      </c>
      <c r="I72">
        <v>2.7</v>
      </c>
      <c r="J72">
        <v>3</v>
      </c>
      <c r="K72">
        <v>1.5</v>
      </c>
      <c r="L72">
        <v>0.8</v>
      </c>
      <c r="M72">
        <v>1.7</v>
      </c>
    </row>
    <row r="73" spans="1:13" x14ac:dyDescent="0.35">
      <c r="A73" s="2" t="s">
        <v>82</v>
      </c>
      <c r="B73" s="2">
        <v>10012.1</v>
      </c>
      <c r="C73" s="2">
        <v>13505.8</v>
      </c>
      <c r="D73" s="2">
        <v>15358.8</v>
      </c>
      <c r="E73" s="2">
        <v>17092.900000000001</v>
      </c>
      <c r="F73" s="2">
        <v>18797.099999999999</v>
      </c>
      <c r="G73" s="2">
        <v>19560.400000000001</v>
      </c>
      <c r="H73" s="2">
        <v>22094.2</v>
      </c>
      <c r="I73" s="2">
        <v>24773.7</v>
      </c>
      <c r="J73" s="2">
        <v>27468.7</v>
      </c>
      <c r="K73" s="2">
        <v>8264.7999999999993</v>
      </c>
      <c r="L73" s="2">
        <v>3501.9</v>
      </c>
      <c r="M73" s="2">
        <v>18053.400000000001</v>
      </c>
    </row>
  </sheetData>
  <sortState xmlns:xlrd2="http://schemas.microsoft.com/office/spreadsheetml/2017/richdata2" ref="A4:M72">
    <sortCondition ref="A4:A7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C46DE-96EC-4C76-848C-D5BB6F79439C}">
  <dimension ref="A1:M21"/>
  <sheetViews>
    <sheetView workbookViewId="0">
      <selection activeCell="A10" sqref="A10:M10"/>
    </sheetView>
  </sheetViews>
  <sheetFormatPr defaultRowHeight="14.5" x14ac:dyDescent="0.35"/>
  <cols>
    <col min="1" max="1" width="34.453125" customWidth="1"/>
  </cols>
  <sheetData>
    <row r="1" spans="1:13" x14ac:dyDescent="0.35">
      <c r="A1" t="s">
        <v>103</v>
      </c>
    </row>
    <row r="3" spans="1:13" x14ac:dyDescent="0.35">
      <c r="A3" t="s">
        <v>32</v>
      </c>
      <c r="B3">
        <v>2010</v>
      </c>
      <c r="C3">
        <v>2012</v>
      </c>
      <c r="D3">
        <v>2013</v>
      </c>
      <c r="E3">
        <v>2014</v>
      </c>
      <c r="F3">
        <v>2015</v>
      </c>
      <c r="G3">
        <v>2016</v>
      </c>
      <c r="H3">
        <v>2017</v>
      </c>
      <c r="I3">
        <v>2018</v>
      </c>
      <c r="J3">
        <v>2019</v>
      </c>
      <c r="K3">
        <v>2020</v>
      </c>
      <c r="L3">
        <v>2021</v>
      </c>
      <c r="M3" t="s">
        <v>2</v>
      </c>
    </row>
    <row r="4" spans="1:13" s="1" customFormat="1" x14ac:dyDescent="0.35">
      <c r="A4" s="1" t="s">
        <v>104</v>
      </c>
      <c r="B4" s="1">
        <v>15539.3</v>
      </c>
      <c r="C4" s="1">
        <v>18852.900000000001</v>
      </c>
      <c r="D4" s="1">
        <v>24820.6</v>
      </c>
      <c r="E4" s="1">
        <v>27799.4</v>
      </c>
      <c r="F4" s="1">
        <v>30444.1</v>
      </c>
      <c r="G4" s="1">
        <v>32530.3</v>
      </c>
      <c r="H4" s="1">
        <v>36111.800000000003</v>
      </c>
      <c r="I4" s="1">
        <v>40371.199999999997</v>
      </c>
      <c r="J4" s="1">
        <v>44669.9</v>
      </c>
      <c r="K4" s="1">
        <v>16492</v>
      </c>
      <c r="L4" s="1">
        <v>8998.7999999999993</v>
      </c>
      <c r="M4" s="1">
        <v>35453.4</v>
      </c>
    </row>
    <row r="5" spans="1:13" x14ac:dyDescent="0.35">
      <c r="A5" t="s">
        <v>82</v>
      </c>
      <c r="B5">
        <v>10012.1</v>
      </c>
      <c r="C5">
        <v>13505.8</v>
      </c>
      <c r="D5">
        <v>15358.8</v>
      </c>
      <c r="E5">
        <v>17092.900000000001</v>
      </c>
      <c r="F5">
        <v>18797.099999999999</v>
      </c>
      <c r="G5">
        <v>19560.400000000001</v>
      </c>
      <c r="H5">
        <v>22094.2</v>
      </c>
      <c r="I5">
        <v>24773.7</v>
      </c>
      <c r="J5">
        <v>27468.7</v>
      </c>
      <c r="K5">
        <v>8264.7999999999993</v>
      </c>
      <c r="L5">
        <v>3501.9</v>
      </c>
      <c r="M5">
        <v>18053.400000000001</v>
      </c>
    </row>
    <row r="6" spans="1:13" x14ac:dyDescent="0.35">
      <c r="A6" t="s">
        <v>61</v>
      </c>
      <c r="B6">
        <v>810.8</v>
      </c>
      <c r="C6">
        <v>1254.5999999999999</v>
      </c>
      <c r="D6">
        <v>1406.3</v>
      </c>
      <c r="E6">
        <v>1818.5</v>
      </c>
      <c r="F6">
        <v>2228.8000000000002</v>
      </c>
      <c r="G6">
        <v>2764</v>
      </c>
      <c r="H6">
        <v>3164.3</v>
      </c>
      <c r="I6">
        <v>3704.5</v>
      </c>
      <c r="J6">
        <v>4111.5</v>
      </c>
      <c r="K6">
        <v>1367.3</v>
      </c>
      <c r="L6">
        <v>1060.9000000000001</v>
      </c>
      <c r="M6">
        <v>4715.7</v>
      </c>
    </row>
    <row r="7" spans="1:13" x14ac:dyDescent="0.35">
      <c r="A7" t="s">
        <v>46</v>
      </c>
      <c r="B7">
        <v>141.69999999999999</v>
      </c>
      <c r="C7">
        <v>170.5</v>
      </c>
      <c r="D7">
        <v>187</v>
      </c>
      <c r="E7">
        <v>205</v>
      </c>
      <c r="F7">
        <v>253.6</v>
      </c>
      <c r="G7">
        <v>291.3</v>
      </c>
      <c r="H7">
        <v>324.89999999999998</v>
      </c>
      <c r="I7">
        <v>354.8</v>
      </c>
      <c r="J7">
        <v>387.7</v>
      </c>
      <c r="K7">
        <v>211.2</v>
      </c>
      <c r="L7">
        <v>132.9</v>
      </c>
      <c r="M7">
        <v>494.1</v>
      </c>
    </row>
    <row r="8" spans="1:13" x14ac:dyDescent="0.35">
      <c r="A8" t="s">
        <v>76</v>
      </c>
      <c r="B8">
        <v>83.9</v>
      </c>
      <c r="C8">
        <v>61.5</v>
      </c>
      <c r="D8">
        <v>84.4</v>
      </c>
      <c r="E8">
        <v>88.2</v>
      </c>
      <c r="F8">
        <v>109.2</v>
      </c>
      <c r="G8">
        <v>105.3</v>
      </c>
      <c r="H8">
        <v>120</v>
      </c>
      <c r="I8">
        <v>128.1</v>
      </c>
      <c r="J8">
        <v>145.1</v>
      </c>
      <c r="K8">
        <v>62.7</v>
      </c>
      <c r="L8">
        <v>51</v>
      </c>
      <c r="M8">
        <v>145.19999999999999</v>
      </c>
    </row>
    <row r="9" spans="1:13" x14ac:dyDescent="0.35">
      <c r="A9" t="s">
        <v>34</v>
      </c>
      <c r="B9">
        <v>4226</v>
      </c>
      <c r="C9">
        <v>3479.2</v>
      </c>
      <c r="D9">
        <v>7347.1</v>
      </c>
      <c r="E9">
        <v>8140.8</v>
      </c>
      <c r="F9">
        <v>8543</v>
      </c>
      <c r="G9">
        <v>9071.7999999999993</v>
      </c>
      <c r="H9">
        <v>9583.6</v>
      </c>
      <c r="I9">
        <v>10507.4</v>
      </c>
      <c r="J9">
        <v>11556.1</v>
      </c>
      <c r="K9">
        <v>6128.3</v>
      </c>
      <c r="L9">
        <v>3938.1</v>
      </c>
      <c r="M9">
        <v>11087.8</v>
      </c>
    </row>
    <row r="10" spans="1:13" x14ac:dyDescent="0.35">
      <c r="A10" t="s">
        <v>89</v>
      </c>
      <c r="B10">
        <v>264.8</v>
      </c>
      <c r="C10">
        <v>381.3</v>
      </c>
      <c r="D10">
        <v>437</v>
      </c>
      <c r="E10">
        <v>454</v>
      </c>
      <c r="F10">
        <v>512.4</v>
      </c>
      <c r="G10">
        <v>737.5</v>
      </c>
      <c r="H10">
        <v>824.8</v>
      </c>
      <c r="I10">
        <v>902.7</v>
      </c>
      <c r="J10">
        <v>1000.8</v>
      </c>
      <c r="K10">
        <v>457.7</v>
      </c>
      <c r="L10">
        <v>314.10000000000002</v>
      </c>
      <c r="M10">
        <v>957.2</v>
      </c>
    </row>
    <row r="19" spans="1:13" x14ac:dyDescent="0.35">
      <c r="A19" t="s">
        <v>57</v>
      </c>
      <c r="B19" t="s">
        <v>7</v>
      </c>
      <c r="C19">
        <v>0.9</v>
      </c>
      <c r="D19">
        <v>0.1</v>
      </c>
      <c r="E19" t="s">
        <v>7</v>
      </c>
      <c r="F19" t="s">
        <v>7</v>
      </c>
      <c r="G19" t="s">
        <v>7</v>
      </c>
      <c r="H19" t="s">
        <v>7</v>
      </c>
      <c r="I19" t="s">
        <v>7</v>
      </c>
      <c r="J19" t="s">
        <v>7</v>
      </c>
      <c r="K19">
        <v>1.3</v>
      </c>
      <c r="L19">
        <v>0.8</v>
      </c>
      <c r="M19">
        <v>1</v>
      </c>
    </row>
    <row r="20" spans="1:13" x14ac:dyDescent="0.35">
      <c r="A20" t="s">
        <v>49</v>
      </c>
      <c r="B20" t="s">
        <v>7</v>
      </c>
      <c r="C20" t="s">
        <v>7</v>
      </c>
      <c r="D20">
        <v>0.1</v>
      </c>
      <c r="E20">
        <v>0.1</v>
      </c>
      <c r="F20">
        <v>0.2</v>
      </c>
      <c r="G20">
        <v>0</v>
      </c>
      <c r="H20">
        <v>0</v>
      </c>
      <c r="I20">
        <v>0.1</v>
      </c>
      <c r="J20">
        <v>0.1</v>
      </c>
      <c r="K20">
        <v>0.1</v>
      </c>
      <c r="L20">
        <v>0.4</v>
      </c>
      <c r="M20">
        <v>0.8</v>
      </c>
    </row>
    <row r="21" spans="1:13" x14ac:dyDescent="0.35">
      <c r="A21" t="s">
        <v>60</v>
      </c>
      <c r="B21">
        <v>4.3</v>
      </c>
      <c r="C21">
        <v>0.2</v>
      </c>
      <c r="D21" t="s">
        <v>7</v>
      </c>
      <c r="E21" t="s">
        <v>7</v>
      </c>
      <c r="F21">
        <v>1.5</v>
      </c>
      <c r="G21">
        <v>1.8</v>
      </c>
      <c r="H21">
        <v>2</v>
      </c>
      <c r="I21">
        <v>2.2000000000000002</v>
      </c>
      <c r="J21">
        <v>2.4</v>
      </c>
      <c r="K21">
        <v>1.5</v>
      </c>
      <c r="L21">
        <v>0</v>
      </c>
      <c r="M2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E473-FF58-47AA-9E32-F5E4F37FCA41}">
  <dimension ref="A1:F72"/>
  <sheetViews>
    <sheetView workbookViewId="0">
      <selection activeCell="A9" sqref="A9"/>
    </sheetView>
  </sheetViews>
  <sheetFormatPr defaultRowHeight="14.5" x14ac:dyDescent="0.35"/>
  <cols>
    <col min="1" max="1" width="26.1796875" customWidth="1"/>
  </cols>
  <sheetData>
    <row r="1" spans="1:6" x14ac:dyDescent="0.35">
      <c r="A1" t="s">
        <v>108</v>
      </c>
    </row>
    <row r="3" spans="1:6" x14ac:dyDescent="0.35">
      <c r="A3" t="s">
        <v>32</v>
      </c>
      <c r="B3">
        <v>2018</v>
      </c>
      <c r="C3">
        <v>2019</v>
      </c>
      <c r="D3">
        <v>2020</v>
      </c>
      <c r="E3">
        <v>2021</v>
      </c>
      <c r="F3" t="s">
        <v>2</v>
      </c>
    </row>
    <row r="4" spans="1:6" x14ac:dyDescent="0.35">
      <c r="A4" t="s">
        <v>87</v>
      </c>
      <c r="B4">
        <v>309.60000000000002</v>
      </c>
      <c r="C4">
        <v>300.39999999999998</v>
      </c>
      <c r="D4">
        <v>251.2</v>
      </c>
      <c r="E4">
        <v>297.60000000000002</v>
      </c>
      <c r="F4">
        <v>357.2</v>
      </c>
    </row>
    <row r="5" spans="1:6" x14ac:dyDescent="0.35">
      <c r="A5" t="s">
        <v>38</v>
      </c>
      <c r="B5">
        <v>126.8</v>
      </c>
      <c r="C5">
        <v>143.30000000000001</v>
      </c>
      <c r="D5">
        <v>155.6</v>
      </c>
      <c r="E5">
        <v>170.2</v>
      </c>
      <c r="F5">
        <v>197.7</v>
      </c>
    </row>
    <row r="6" spans="1:6" x14ac:dyDescent="0.35">
      <c r="A6" t="s">
        <v>40</v>
      </c>
      <c r="B6">
        <v>104.4</v>
      </c>
      <c r="C6">
        <v>122.2</v>
      </c>
      <c r="D6">
        <v>133.9</v>
      </c>
      <c r="E6">
        <v>151.1</v>
      </c>
      <c r="F6">
        <v>173.5</v>
      </c>
    </row>
    <row r="7" spans="1:6" x14ac:dyDescent="0.35">
      <c r="A7" t="s">
        <v>37</v>
      </c>
      <c r="B7">
        <v>144.9</v>
      </c>
      <c r="C7">
        <v>145</v>
      </c>
      <c r="D7">
        <v>147.30000000000001</v>
      </c>
      <c r="E7">
        <v>157.69999999999999</v>
      </c>
      <c r="F7">
        <v>169.1</v>
      </c>
    </row>
    <row r="8" spans="1:6" x14ac:dyDescent="0.35">
      <c r="A8" t="s">
        <v>106</v>
      </c>
      <c r="B8">
        <v>137.69999999999999</v>
      </c>
      <c r="C8">
        <v>147.4</v>
      </c>
      <c r="D8">
        <v>150.5</v>
      </c>
      <c r="E8">
        <v>157.4</v>
      </c>
      <c r="F8">
        <v>165.3</v>
      </c>
    </row>
    <row r="9" spans="1:6" x14ac:dyDescent="0.35">
      <c r="A9" t="s">
        <v>88</v>
      </c>
      <c r="B9">
        <v>138.80000000000001</v>
      </c>
      <c r="C9">
        <v>148.69999999999999</v>
      </c>
      <c r="D9">
        <v>148.6</v>
      </c>
      <c r="E9">
        <v>146</v>
      </c>
      <c r="F9">
        <v>159.4</v>
      </c>
    </row>
    <row r="10" spans="1:6" x14ac:dyDescent="0.35">
      <c r="A10" t="s">
        <v>82</v>
      </c>
      <c r="B10">
        <v>133.80000000000001</v>
      </c>
      <c r="C10">
        <v>141.69999999999999</v>
      </c>
      <c r="D10">
        <v>140.4</v>
      </c>
      <c r="E10">
        <v>144.30000000000001</v>
      </c>
      <c r="F10">
        <v>158.9</v>
      </c>
    </row>
    <row r="11" spans="1:6" x14ac:dyDescent="0.35">
      <c r="A11" t="s">
        <v>35</v>
      </c>
      <c r="B11">
        <v>111.6</v>
      </c>
      <c r="C11">
        <v>120.3</v>
      </c>
      <c r="D11">
        <v>123.4</v>
      </c>
      <c r="E11">
        <v>128.30000000000001</v>
      </c>
      <c r="F11">
        <v>141.6</v>
      </c>
    </row>
    <row r="12" spans="1:6" x14ac:dyDescent="0.35">
      <c r="A12" t="s">
        <v>86</v>
      </c>
      <c r="B12">
        <v>103.1</v>
      </c>
      <c r="C12">
        <v>110.7</v>
      </c>
      <c r="D12">
        <v>115.1</v>
      </c>
      <c r="E12">
        <v>119.1</v>
      </c>
      <c r="F12">
        <v>129.19999999999999</v>
      </c>
    </row>
    <row r="13" spans="1:6" x14ac:dyDescent="0.35">
      <c r="A13" t="s">
        <v>36</v>
      </c>
      <c r="B13">
        <v>94.5</v>
      </c>
      <c r="C13">
        <v>102.5</v>
      </c>
      <c r="D13">
        <v>105.9</v>
      </c>
      <c r="E13">
        <v>114.4</v>
      </c>
      <c r="F13">
        <v>127.1</v>
      </c>
    </row>
    <row r="14" spans="1:6" x14ac:dyDescent="0.35">
      <c r="A14" t="s">
        <v>34</v>
      </c>
      <c r="B14">
        <v>89.5</v>
      </c>
      <c r="C14">
        <v>98.1</v>
      </c>
      <c r="D14">
        <v>102.9</v>
      </c>
      <c r="E14">
        <v>110.2</v>
      </c>
      <c r="F14">
        <v>123.1</v>
      </c>
    </row>
    <row r="15" spans="1:6" x14ac:dyDescent="0.35">
      <c r="A15" t="s">
        <v>105</v>
      </c>
      <c r="B15">
        <v>84.7</v>
      </c>
      <c r="C15">
        <v>90.9</v>
      </c>
      <c r="D15">
        <v>94.3</v>
      </c>
      <c r="E15">
        <v>100</v>
      </c>
      <c r="F15">
        <v>110</v>
      </c>
    </row>
    <row r="16" spans="1:6" x14ac:dyDescent="0.35">
      <c r="A16" t="s">
        <v>41</v>
      </c>
      <c r="B16">
        <v>66.900000000000006</v>
      </c>
      <c r="C16">
        <v>73.7</v>
      </c>
      <c r="D16">
        <v>79</v>
      </c>
      <c r="E16">
        <v>88</v>
      </c>
      <c r="F16">
        <v>102.3</v>
      </c>
    </row>
    <row r="17" spans="1:6" x14ac:dyDescent="0.35">
      <c r="A17" t="s">
        <v>68</v>
      </c>
      <c r="B17">
        <v>91</v>
      </c>
      <c r="C17">
        <v>97.4</v>
      </c>
      <c r="D17">
        <v>88.8</v>
      </c>
      <c r="E17">
        <v>90.4</v>
      </c>
      <c r="F17">
        <v>102</v>
      </c>
    </row>
    <row r="18" spans="1:6" x14ac:dyDescent="0.35">
      <c r="A18" t="s">
        <v>70</v>
      </c>
      <c r="B18">
        <v>67.7</v>
      </c>
      <c r="C18">
        <v>70.5</v>
      </c>
      <c r="D18">
        <v>69.5</v>
      </c>
      <c r="E18">
        <v>81.5</v>
      </c>
      <c r="F18">
        <v>99.1</v>
      </c>
    </row>
    <row r="19" spans="1:6" x14ac:dyDescent="0.35">
      <c r="A19" t="s">
        <v>90</v>
      </c>
      <c r="B19">
        <v>65.7</v>
      </c>
      <c r="C19">
        <v>72.8</v>
      </c>
      <c r="D19">
        <v>76.400000000000006</v>
      </c>
      <c r="E19">
        <v>79.900000000000006</v>
      </c>
      <c r="F19">
        <v>90.3</v>
      </c>
    </row>
    <row r="20" spans="1:6" x14ac:dyDescent="0.35">
      <c r="A20" t="s">
        <v>39</v>
      </c>
      <c r="B20">
        <v>61.2</v>
      </c>
      <c r="C20">
        <v>66.8</v>
      </c>
      <c r="D20">
        <v>68.400000000000006</v>
      </c>
      <c r="E20">
        <v>77.3</v>
      </c>
      <c r="F20">
        <v>87.5</v>
      </c>
    </row>
    <row r="21" spans="1:6" x14ac:dyDescent="0.35">
      <c r="A21" t="s">
        <v>83</v>
      </c>
      <c r="B21">
        <v>56.1</v>
      </c>
      <c r="C21">
        <v>62.6</v>
      </c>
      <c r="D21">
        <v>67.7</v>
      </c>
      <c r="E21">
        <v>76.099999999999994</v>
      </c>
      <c r="F21">
        <v>87.3</v>
      </c>
    </row>
    <row r="22" spans="1:6" x14ac:dyDescent="0.35">
      <c r="A22" t="s">
        <v>98</v>
      </c>
      <c r="B22">
        <v>67.8</v>
      </c>
      <c r="C22">
        <v>72.7</v>
      </c>
      <c r="D22">
        <v>72.400000000000006</v>
      </c>
      <c r="E22">
        <v>73.900000000000006</v>
      </c>
      <c r="F22">
        <v>87</v>
      </c>
    </row>
    <row r="23" spans="1:6" x14ac:dyDescent="0.35">
      <c r="A23" t="s">
        <v>43</v>
      </c>
      <c r="B23">
        <v>56.3</v>
      </c>
      <c r="C23">
        <v>64</v>
      </c>
      <c r="D23">
        <v>69.5</v>
      </c>
      <c r="E23">
        <v>76</v>
      </c>
      <c r="F23">
        <v>86.9</v>
      </c>
    </row>
    <row r="24" spans="1:6" x14ac:dyDescent="0.35">
      <c r="A24" t="s">
        <v>84</v>
      </c>
      <c r="B24">
        <v>62.4</v>
      </c>
      <c r="C24">
        <v>70.599999999999994</v>
      </c>
      <c r="D24">
        <v>74</v>
      </c>
      <c r="E24">
        <v>76.599999999999994</v>
      </c>
      <c r="F24">
        <v>86.6</v>
      </c>
    </row>
    <row r="25" spans="1:6" x14ac:dyDescent="0.35">
      <c r="A25" t="s">
        <v>51</v>
      </c>
      <c r="B25">
        <v>62.2</v>
      </c>
      <c r="C25">
        <v>68.099999999999994</v>
      </c>
      <c r="D25">
        <v>72</v>
      </c>
      <c r="E25">
        <v>74.400000000000006</v>
      </c>
      <c r="F25">
        <v>86</v>
      </c>
    </row>
    <row r="26" spans="1:6" x14ac:dyDescent="0.35">
      <c r="A26" t="s">
        <v>55</v>
      </c>
      <c r="B26">
        <v>50.8</v>
      </c>
      <c r="C26">
        <v>57.7</v>
      </c>
      <c r="D26">
        <v>65.599999999999994</v>
      </c>
      <c r="E26">
        <v>70.3</v>
      </c>
      <c r="F26">
        <v>84.1</v>
      </c>
    </row>
    <row r="27" spans="1:6" x14ac:dyDescent="0.35">
      <c r="A27" t="s">
        <v>75</v>
      </c>
      <c r="B27">
        <v>53.4</v>
      </c>
      <c r="C27">
        <v>64.2</v>
      </c>
      <c r="D27">
        <v>69.2</v>
      </c>
      <c r="E27">
        <v>73.400000000000006</v>
      </c>
      <c r="F27">
        <v>79.599999999999994</v>
      </c>
    </row>
    <row r="28" spans="1:6" x14ac:dyDescent="0.35">
      <c r="A28" t="s">
        <v>45</v>
      </c>
      <c r="B28">
        <v>54.3</v>
      </c>
      <c r="C28">
        <v>62.8</v>
      </c>
      <c r="D28">
        <v>67.5</v>
      </c>
      <c r="E28">
        <v>70.7</v>
      </c>
      <c r="F28">
        <v>79.599999999999994</v>
      </c>
    </row>
    <row r="29" spans="1:6" x14ac:dyDescent="0.35">
      <c r="A29" t="s">
        <v>69</v>
      </c>
      <c r="B29">
        <v>61.5</v>
      </c>
      <c r="C29">
        <v>66</v>
      </c>
      <c r="D29">
        <v>65.400000000000006</v>
      </c>
      <c r="E29">
        <v>69.8</v>
      </c>
      <c r="F29">
        <v>78.7</v>
      </c>
    </row>
    <row r="30" spans="1:6" x14ac:dyDescent="0.35">
      <c r="A30" t="s">
        <v>81</v>
      </c>
      <c r="B30">
        <v>56</v>
      </c>
      <c r="C30">
        <v>60.5</v>
      </c>
      <c r="D30">
        <v>62.9</v>
      </c>
      <c r="E30">
        <v>67</v>
      </c>
      <c r="F30">
        <v>77.8</v>
      </c>
    </row>
    <row r="31" spans="1:6" x14ac:dyDescent="0.35">
      <c r="A31" t="s">
        <v>74</v>
      </c>
      <c r="B31">
        <v>43.7</v>
      </c>
      <c r="C31">
        <v>52.7</v>
      </c>
      <c r="D31">
        <v>59.1</v>
      </c>
      <c r="E31">
        <v>69.7</v>
      </c>
      <c r="F31">
        <v>77.3</v>
      </c>
    </row>
    <row r="32" spans="1:6" x14ac:dyDescent="0.35">
      <c r="A32" t="s">
        <v>73</v>
      </c>
      <c r="B32">
        <v>63.9</v>
      </c>
      <c r="C32">
        <v>70.400000000000006</v>
      </c>
      <c r="D32">
        <v>64.3</v>
      </c>
      <c r="E32">
        <v>63.5</v>
      </c>
      <c r="F32">
        <v>77.2</v>
      </c>
    </row>
    <row r="33" spans="1:6" x14ac:dyDescent="0.35">
      <c r="A33" t="s">
        <v>93</v>
      </c>
      <c r="B33">
        <v>53.5</v>
      </c>
      <c r="C33">
        <v>58.9</v>
      </c>
      <c r="D33">
        <v>61</v>
      </c>
      <c r="E33">
        <v>63.1</v>
      </c>
      <c r="F33">
        <v>71.8</v>
      </c>
    </row>
    <row r="34" spans="1:6" x14ac:dyDescent="0.35">
      <c r="A34" t="s">
        <v>64</v>
      </c>
      <c r="B34">
        <v>54.7</v>
      </c>
      <c r="C34">
        <v>60.5</v>
      </c>
      <c r="D34">
        <v>63.6</v>
      </c>
      <c r="E34">
        <v>68.900000000000006</v>
      </c>
      <c r="F34">
        <v>71.2</v>
      </c>
    </row>
    <row r="35" spans="1:6" x14ac:dyDescent="0.35">
      <c r="A35" t="s">
        <v>71</v>
      </c>
      <c r="B35">
        <v>50.2</v>
      </c>
      <c r="C35">
        <v>55.7</v>
      </c>
      <c r="D35">
        <v>60.1</v>
      </c>
      <c r="E35">
        <v>63.7</v>
      </c>
      <c r="F35">
        <v>70.900000000000006</v>
      </c>
    </row>
    <row r="36" spans="1:6" x14ac:dyDescent="0.35">
      <c r="A36" t="s">
        <v>61</v>
      </c>
      <c r="B36">
        <v>50.2</v>
      </c>
      <c r="C36">
        <v>55.9</v>
      </c>
      <c r="D36">
        <v>57.4</v>
      </c>
      <c r="E36">
        <v>61.8</v>
      </c>
      <c r="F36">
        <v>70.2</v>
      </c>
    </row>
    <row r="37" spans="1:6" x14ac:dyDescent="0.35">
      <c r="A37" t="s">
        <v>94</v>
      </c>
      <c r="B37">
        <v>48.1</v>
      </c>
      <c r="C37">
        <v>52.9</v>
      </c>
      <c r="D37">
        <v>57.3</v>
      </c>
      <c r="E37">
        <v>57.5</v>
      </c>
      <c r="F37">
        <v>68.900000000000006</v>
      </c>
    </row>
    <row r="38" spans="1:6" x14ac:dyDescent="0.35">
      <c r="A38" t="s">
        <v>62</v>
      </c>
      <c r="B38">
        <v>40.299999999999997</v>
      </c>
      <c r="C38">
        <v>48.3</v>
      </c>
      <c r="D38">
        <v>51.3</v>
      </c>
      <c r="E38">
        <v>57.6</v>
      </c>
      <c r="F38">
        <v>68.099999999999994</v>
      </c>
    </row>
    <row r="39" spans="1:6" x14ac:dyDescent="0.35">
      <c r="A39" t="s">
        <v>60</v>
      </c>
      <c r="B39">
        <v>54.4</v>
      </c>
      <c r="C39">
        <v>54.6</v>
      </c>
      <c r="D39">
        <v>57.7</v>
      </c>
      <c r="E39">
        <v>59.2</v>
      </c>
      <c r="F39">
        <v>66.8</v>
      </c>
    </row>
    <row r="40" spans="1:6" x14ac:dyDescent="0.35">
      <c r="A40" t="s">
        <v>99</v>
      </c>
      <c r="B40">
        <v>44.3</v>
      </c>
      <c r="C40">
        <v>48.6</v>
      </c>
      <c r="D40">
        <v>51.5</v>
      </c>
      <c r="E40">
        <v>54.4</v>
      </c>
      <c r="F40">
        <v>66.3</v>
      </c>
    </row>
    <row r="41" spans="1:6" x14ac:dyDescent="0.35">
      <c r="A41" t="s">
        <v>97</v>
      </c>
      <c r="B41">
        <v>52</v>
      </c>
      <c r="C41">
        <v>55.2</v>
      </c>
      <c r="D41">
        <v>55.6</v>
      </c>
      <c r="E41">
        <v>59</v>
      </c>
      <c r="F41">
        <v>66.3</v>
      </c>
    </row>
    <row r="42" spans="1:6" x14ac:dyDescent="0.35">
      <c r="A42" t="s">
        <v>89</v>
      </c>
      <c r="B42">
        <v>49.6</v>
      </c>
      <c r="C42">
        <v>53.7</v>
      </c>
      <c r="D42">
        <v>55.5</v>
      </c>
      <c r="E42">
        <v>57.4</v>
      </c>
      <c r="F42">
        <v>65.599999999999994</v>
      </c>
    </row>
    <row r="43" spans="1:6" x14ac:dyDescent="0.35">
      <c r="A43" t="s">
        <v>66</v>
      </c>
      <c r="B43">
        <v>45.5</v>
      </c>
      <c r="C43">
        <v>50.3</v>
      </c>
      <c r="D43">
        <v>52.8</v>
      </c>
      <c r="E43">
        <v>57.9</v>
      </c>
      <c r="F43">
        <v>65</v>
      </c>
    </row>
    <row r="44" spans="1:6" x14ac:dyDescent="0.35">
      <c r="A44" t="s">
        <v>46</v>
      </c>
      <c r="B44">
        <v>46.1</v>
      </c>
      <c r="C44">
        <v>49.5</v>
      </c>
      <c r="D44">
        <v>53.4</v>
      </c>
      <c r="E44">
        <v>56.1</v>
      </c>
      <c r="F44">
        <v>63.3</v>
      </c>
    </row>
    <row r="45" spans="1:6" x14ac:dyDescent="0.35">
      <c r="A45" t="s">
        <v>91</v>
      </c>
      <c r="B45">
        <v>50.5</v>
      </c>
      <c r="C45">
        <v>54.6</v>
      </c>
      <c r="D45">
        <v>55.8</v>
      </c>
      <c r="E45">
        <v>55.8</v>
      </c>
      <c r="F45">
        <v>62.6</v>
      </c>
    </row>
    <row r="46" spans="1:6" x14ac:dyDescent="0.35">
      <c r="A46" t="s">
        <v>95</v>
      </c>
      <c r="B46">
        <v>47.4</v>
      </c>
      <c r="C46">
        <v>51.5</v>
      </c>
      <c r="D46">
        <v>53.4</v>
      </c>
      <c r="E46">
        <v>54.4</v>
      </c>
      <c r="F46">
        <v>61.7</v>
      </c>
    </row>
    <row r="47" spans="1:6" x14ac:dyDescent="0.35">
      <c r="A47" t="s">
        <v>102</v>
      </c>
      <c r="B47">
        <v>48.2</v>
      </c>
      <c r="C47">
        <v>50.7</v>
      </c>
      <c r="D47">
        <v>51.2</v>
      </c>
      <c r="E47">
        <v>51.8</v>
      </c>
      <c r="F47">
        <v>61.1</v>
      </c>
    </row>
    <row r="48" spans="1:6" x14ac:dyDescent="0.35">
      <c r="A48" t="s">
        <v>76</v>
      </c>
      <c r="B48">
        <v>43.4</v>
      </c>
      <c r="C48">
        <v>45.8</v>
      </c>
      <c r="D48">
        <v>48.8</v>
      </c>
      <c r="E48">
        <v>53.7</v>
      </c>
      <c r="F48">
        <v>60.7</v>
      </c>
    </row>
    <row r="49" spans="1:6" x14ac:dyDescent="0.35">
      <c r="A49" t="s">
        <v>101</v>
      </c>
      <c r="B49">
        <v>43.9</v>
      </c>
      <c r="C49">
        <v>45.9</v>
      </c>
      <c r="D49">
        <v>48</v>
      </c>
      <c r="E49">
        <v>51.4</v>
      </c>
      <c r="F49">
        <v>60.1</v>
      </c>
    </row>
    <row r="50" spans="1:6" x14ac:dyDescent="0.35">
      <c r="A50" t="s">
        <v>56</v>
      </c>
      <c r="B50">
        <v>42.5</v>
      </c>
      <c r="C50">
        <v>47.1</v>
      </c>
      <c r="D50">
        <v>50.7</v>
      </c>
      <c r="E50">
        <v>54</v>
      </c>
      <c r="F50">
        <v>59.6</v>
      </c>
    </row>
    <row r="51" spans="1:6" x14ac:dyDescent="0.35">
      <c r="A51" t="s">
        <v>80</v>
      </c>
      <c r="B51">
        <v>44</v>
      </c>
      <c r="C51">
        <v>45.5</v>
      </c>
      <c r="D51">
        <v>48.1</v>
      </c>
      <c r="E51">
        <v>53.2</v>
      </c>
      <c r="F51">
        <v>59.4</v>
      </c>
    </row>
    <row r="52" spans="1:6" x14ac:dyDescent="0.35">
      <c r="A52" t="s">
        <v>42</v>
      </c>
      <c r="B52">
        <v>40</v>
      </c>
      <c r="C52">
        <v>45.2</v>
      </c>
      <c r="D52">
        <v>47.9</v>
      </c>
      <c r="E52">
        <v>51.6</v>
      </c>
      <c r="F52">
        <v>57.7</v>
      </c>
    </row>
    <row r="53" spans="1:6" x14ac:dyDescent="0.35">
      <c r="A53" t="s">
        <v>79</v>
      </c>
      <c r="B53">
        <v>39.1</v>
      </c>
      <c r="C53">
        <v>41.7</v>
      </c>
      <c r="D53">
        <v>46.1</v>
      </c>
      <c r="E53">
        <v>51</v>
      </c>
      <c r="F53">
        <v>57.3</v>
      </c>
    </row>
    <row r="54" spans="1:6" x14ac:dyDescent="0.35">
      <c r="A54" t="s">
        <v>72</v>
      </c>
      <c r="B54">
        <v>44.3</v>
      </c>
      <c r="C54">
        <v>48.6</v>
      </c>
      <c r="D54">
        <v>50.5</v>
      </c>
      <c r="E54">
        <v>51.5</v>
      </c>
      <c r="F54">
        <v>57.1</v>
      </c>
    </row>
    <row r="55" spans="1:6" x14ac:dyDescent="0.35">
      <c r="A55" t="s">
        <v>67</v>
      </c>
      <c r="B55">
        <v>42.5</v>
      </c>
      <c r="C55">
        <v>46.8</v>
      </c>
      <c r="D55">
        <v>48.6</v>
      </c>
      <c r="E55">
        <v>50.8</v>
      </c>
      <c r="F55">
        <v>57</v>
      </c>
    </row>
    <row r="56" spans="1:6" x14ac:dyDescent="0.35">
      <c r="A56" t="s">
        <v>100</v>
      </c>
      <c r="B56">
        <v>41.5</v>
      </c>
      <c r="C56">
        <v>44.5</v>
      </c>
      <c r="D56">
        <v>45.8</v>
      </c>
      <c r="E56">
        <v>48.1</v>
      </c>
      <c r="F56">
        <v>55.1</v>
      </c>
    </row>
    <row r="57" spans="1:6" x14ac:dyDescent="0.35">
      <c r="A57" t="s">
        <v>65</v>
      </c>
      <c r="B57">
        <v>39.700000000000003</v>
      </c>
      <c r="C57">
        <v>43.7</v>
      </c>
      <c r="D57">
        <v>46.3</v>
      </c>
      <c r="E57">
        <v>49.3</v>
      </c>
      <c r="F57">
        <v>54.9</v>
      </c>
    </row>
    <row r="58" spans="1:6" x14ac:dyDescent="0.35">
      <c r="A58" t="s">
        <v>77</v>
      </c>
      <c r="B58">
        <v>37.799999999999997</v>
      </c>
      <c r="C58">
        <v>40.299999999999997</v>
      </c>
      <c r="D58">
        <v>43</v>
      </c>
      <c r="E58">
        <v>47.7</v>
      </c>
      <c r="F58">
        <v>54</v>
      </c>
    </row>
    <row r="59" spans="1:6" x14ac:dyDescent="0.35">
      <c r="A59" t="s">
        <v>78</v>
      </c>
      <c r="B59">
        <v>39.299999999999997</v>
      </c>
      <c r="C59">
        <v>40.299999999999997</v>
      </c>
      <c r="D59">
        <v>42.6</v>
      </c>
      <c r="E59">
        <v>48.2</v>
      </c>
      <c r="F59">
        <v>53.3</v>
      </c>
    </row>
    <row r="60" spans="1:6" x14ac:dyDescent="0.35">
      <c r="A60" t="s">
        <v>96</v>
      </c>
      <c r="B60">
        <v>40.4</v>
      </c>
      <c r="C60">
        <v>44.5</v>
      </c>
      <c r="D60">
        <v>46.6</v>
      </c>
      <c r="E60">
        <v>47.7</v>
      </c>
      <c r="F60">
        <v>52.4</v>
      </c>
    </row>
    <row r="61" spans="1:6" x14ac:dyDescent="0.35">
      <c r="A61" t="s">
        <v>54</v>
      </c>
      <c r="B61">
        <v>38.299999999999997</v>
      </c>
      <c r="C61">
        <v>41.9</v>
      </c>
      <c r="D61">
        <v>44.2</v>
      </c>
      <c r="E61">
        <v>47.2</v>
      </c>
      <c r="F61">
        <v>52.1</v>
      </c>
    </row>
    <row r="62" spans="1:6" x14ac:dyDescent="0.35">
      <c r="A62" t="s">
        <v>63</v>
      </c>
      <c r="B62">
        <v>36.5</v>
      </c>
      <c r="C62">
        <v>39.799999999999997</v>
      </c>
      <c r="D62">
        <v>43.1</v>
      </c>
      <c r="E62">
        <v>46.2</v>
      </c>
      <c r="F62">
        <v>51.6</v>
      </c>
    </row>
    <row r="63" spans="1:6" x14ac:dyDescent="0.35">
      <c r="A63" t="s">
        <v>50</v>
      </c>
      <c r="B63">
        <v>36.200000000000003</v>
      </c>
      <c r="C63">
        <v>39.6</v>
      </c>
      <c r="D63">
        <v>43.5</v>
      </c>
      <c r="E63">
        <v>45.2</v>
      </c>
      <c r="F63">
        <v>50.6</v>
      </c>
    </row>
    <row r="64" spans="1:6" x14ac:dyDescent="0.35">
      <c r="A64" t="s">
        <v>58</v>
      </c>
      <c r="B64">
        <v>40.5</v>
      </c>
      <c r="C64">
        <v>38.9</v>
      </c>
      <c r="D64">
        <v>43.3</v>
      </c>
      <c r="E64">
        <v>44.7</v>
      </c>
      <c r="F64">
        <v>50.2</v>
      </c>
    </row>
    <row r="65" spans="1:6" x14ac:dyDescent="0.35">
      <c r="A65" t="s">
        <v>59</v>
      </c>
      <c r="B65">
        <v>40.4</v>
      </c>
      <c r="C65">
        <v>39.700000000000003</v>
      </c>
      <c r="D65">
        <v>43.3</v>
      </c>
      <c r="E65">
        <v>44.3</v>
      </c>
      <c r="F65">
        <v>49.6</v>
      </c>
    </row>
    <row r="66" spans="1:6" x14ac:dyDescent="0.35">
      <c r="A66" t="s">
        <v>92</v>
      </c>
      <c r="B66">
        <v>36.799999999999997</v>
      </c>
      <c r="C66">
        <v>40.299999999999997</v>
      </c>
      <c r="D66">
        <v>41.9</v>
      </c>
      <c r="E66">
        <v>44.6</v>
      </c>
      <c r="F66">
        <v>49</v>
      </c>
    </row>
    <row r="67" spans="1:6" x14ac:dyDescent="0.35">
      <c r="A67" t="s">
        <v>44</v>
      </c>
      <c r="B67">
        <v>34.9</v>
      </c>
      <c r="C67">
        <v>39</v>
      </c>
      <c r="D67">
        <v>42.7</v>
      </c>
      <c r="E67">
        <v>44.5</v>
      </c>
      <c r="F67">
        <v>48.1</v>
      </c>
    </row>
    <row r="68" spans="1:6" x14ac:dyDescent="0.35">
      <c r="A68" t="s">
        <v>52</v>
      </c>
      <c r="B68">
        <v>33.9</v>
      </c>
      <c r="C68">
        <v>37.1</v>
      </c>
      <c r="D68">
        <v>39.9</v>
      </c>
      <c r="E68">
        <v>42.6</v>
      </c>
      <c r="F68">
        <v>47.9</v>
      </c>
    </row>
    <row r="69" spans="1:6" x14ac:dyDescent="0.35">
      <c r="A69" t="s">
        <v>49</v>
      </c>
      <c r="B69">
        <v>35.4</v>
      </c>
      <c r="C69">
        <v>38.200000000000003</v>
      </c>
      <c r="D69">
        <v>41.1</v>
      </c>
      <c r="E69">
        <v>42.5</v>
      </c>
      <c r="F69">
        <v>46.8</v>
      </c>
    </row>
    <row r="70" spans="1:6" x14ac:dyDescent="0.35">
      <c r="A70" t="s">
        <v>57</v>
      </c>
      <c r="B70">
        <v>30.6</v>
      </c>
      <c r="C70">
        <v>32.1</v>
      </c>
      <c r="D70">
        <v>33.1</v>
      </c>
      <c r="E70">
        <v>35.299999999999997</v>
      </c>
      <c r="F70">
        <v>39.6</v>
      </c>
    </row>
    <row r="71" spans="1:6" x14ac:dyDescent="0.35">
      <c r="A71" t="s">
        <v>48</v>
      </c>
      <c r="B71">
        <v>30.6</v>
      </c>
      <c r="C71">
        <v>32.9</v>
      </c>
      <c r="D71">
        <v>35.799999999999997</v>
      </c>
      <c r="E71">
        <v>35.799999999999997</v>
      </c>
      <c r="F71">
        <v>38.700000000000003</v>
      </c>
    </row>
    <row r="72" spans="1:6" x14ac:dyDescent="0.35">
      <c r="A72" t="s">
        <v>47</v>
      </c>
      <c r="B72">
        <v>26.1</v>
      </c>
      <c r="C72">
        <v>28.2</v>
      </c>
      <c r="D72">
        <v>29.8</v>
      </c>
      <c r="E72">
        <v>30.8</v>
      </c>
      <c r="F72">
        <v>33.700000000000003</v>
      </c>
    </row>
  </sheetData>
  <sortState xmlns:xlrd2="http://schemas.microsoft.com/office/spreadsheetml/2017/richdata2" ref="A4:F72">
    <sortCondition descending="1" ref="F3:F7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BB0D-33D7-4E56-A6CA-0DD77E627F78}">
  <dimension ref="A1:K68"/>
  <sheetViews>
    <sheetView workbookViewId="0">
      <selection activeCell="A10" sqref="A1:A1048576"/>
    </sheetView>
  </sheetViews>
  <sheetFormatPr defaultRowHeight="14.5" x14ac:dyDescent="0.35"/>
  <sheetData>
    <row r="1" spans="1:11" x14ac:dyDescent="0.35">
      <c r="A1" t="s">
        <v>132</v>
      </c>
    </row>
    <row r="3" spans="1:11" x14ac:dyDescent="0.35">
      <c r="A3" t="s">
        <v>32</v>
      </c>
      <c r="B3" t="s">
        <v>133</v>
      </c>
      <c r="C3" t="s">
        <v>134</v>
      </c>
      <c r="D3" t="s">
        <v>135</v>
      </c>
      <c r="E3" t="s">
        <v>136</v>
      </c>
      <c r="F3" t="s">
        <v>137</v>
      </c>
      <c r="G3" t="s">
        <v>138</v>
      </c>
      <c r="H3" t="s">
        <v>139</v>
      </c>
      <c r="I3" t="s">
        <v>140</v>
      </c>
      <c r="J3" t="s">
        <v>141</v>
      </c>
      <c r="K3" t="s">
        <v>142</v>
      </c>
    </row>
    <row r="4" spans="1:11" x14ac:dyDescent="0.35">
      <c r="A4" t="s">
        <v>33</v>
      </c>
      <c r="B4">
        <v>1387</v>
      </c>
      <c r="C4">
        <v>2000</v>
      </c>
      <c r="D4">
        <v>2637</v>
      </c>
      <c r="E4">
        <v>3098</v>
      </c>
      <c r="F4">
        <v>3876</v>
      </c>
      <c r="G4">
        <v>4295</v>
      </c>
      <c r="H4">
        <v>4249</v>
      </c>
      <c r="I4">
        <v>4205</v>
      </c>
      <c r="J4">
        <v>4673</v>
      </c>
      <c r="K4">
        <v>4962</v>
      </c>
    </row>
    <row r="5" spans="1:11" x14ac:dyDescent="0.35">
      <c r="A5" t="s">
        <v>35</v>
      </c>
      <c r="B5">
        <v>2013</v>
      </c>
      <c r="C5">
        <v>2945</v>
      </c>
      <c r="D5">
        <v>4113</v>
      </c>
      <c r="E5">
        <v>4875</v>
      </c>
      <c r="F5">
        <v>6054</v>
      </c>
      <c r="G5">
        <v>6403</v>
      </c>
      <c r="H5">
        <v>6205</v>
      </c>
      <c r="I5">
        <v>6002</v>
      </c>
      <c r="J5">
        <v>6423</v>
      </c>
      <c r="K5">
        <v>6869</v>
      </c>
    </row>
    <row r="6" spans="1:11" x14ac:dyDescent="0.35">
      <c r="A6" t="s">
        <v>36</v>
      </c>
      <c r="B6">
        <v>1232</v>
      </c>
      <c r="C6">
        <v>1867</v>
      </c>
      <c r="D6">
        <v>2378</v>
      </c>
      <c r="E6">
        <v>2860</v>
      </c>
      <c r="F6">
        <v>3699</v>
      </c>
      <c r="G6">
        <v>4086</v>
      </c>
      <c r="H6">
        <v>4290</v>
      </c>
      <c r="I6">
        <v>4511</v>
      </c>
      <c r="J6">
        <v>5194</v>
      </c>
      <c r="K6">
        <v>5463</v>
      </c>
    </row>
    <row r="7" spans="1:11" x14ac:dyDescent="0.35">
      <c r="A7" t="s">
        <v>37</v>
      </c>
      <c r="B7">
        <v>1646</v>
      </c>
      <c r="C7">
        <v>2502</v>
      </c>
      <c r="D7">
        <v>3512</v>
      </c>
      <c r="E7">
        <v>4308</v>
      </c>
      <c r="F7">
        <v>5446</v>
      </c>
      <c r="G7">
        <v>5714</v>
      </c>
      <c r="H7">
        <v>5439</v>
      </c>
      <c r="I7">
        <v>4917</v>
      </c>
      <c r="J7">
        <v>5470</v>
      </c>
      <c r="K7">
        <v>5279</v>
      </c>
    </row>
    <row r="8" spans="1:11" x14ac:dyDescent="0.35">
      <c r="A8" t="s">
        <v>38</v>
      </c>
      <c r="B8">
        <v>1787</v>
      </c>
      <c r="C8">
        <v>2557</v>
      </c>
      <c r="D8">
        <v>3053</v>
      </c>
      <c r="E8">
        <v>3747</v>
      </c>
      <c r="F8">
        <v>4777</v>
      </c>
      <c r="G8">
        <v>5198</v>
      </c>
      <c r="H8">
        <v>4539</v>
      </c>
      <c r="I8">
        <v>3992</v>
      </c>
      <c r="J8">
        <v>4811</v>
      </c>
      <c r="K8">
        <v>5295</v>
      </c>
    </row>
    <row r="9" spans="1:11" x14ac:dyDescent="0.35">
      <c r="A9" t="s">
        <v>39</v>
      </c>
      <c r="B9">
        <v>1306</v>
      </c>
      <c r="C9">
        <v>2047</v>
      </c>
      <c r="D9">
        <v>2755</v>
      </c>
      <c r="E9">
        <v>3169</v>
      </c>
      <c r="F9">
        <v>3693</v>
      </c>
      <c r="G9">
        <v>4091</v>
      </c>
      <c r="H9">
        <v>4388</v>
      </c>
      <c r="I9">
        <v>4304</v>
      </c>
      <c r="J9">
        <v>4936</v>
      </c>
      <c r="K9">
        <v>5336</v>
      </c>
    </row>
    <row r="10" spans="1:11" x14ac:dyDescent="0.35">
      <c r="A10" t="s">
        <v>40</v>
      </c>
      <c r="B10">
        <v>1694</v>
      </c>
      <c r="C10">
        <v>2526</v>
      </c>
      <c r="D10">
        <v>3923</v>
      </c>
      <c r="E10">
        <v>4375</v>
      </c>
      <c r="F10">
        <v>5116</v>
      </c>
      <c r="G10">
        <v>5576</v>
      </c>
      <c r="H10">
        <v>5199</v>
      </c>
      <c r="I10">
        <v>5093</v>
      </c>
      <c r="J10">
        <v>5897</v>
      </c>
      <c r="K10">
        <v>6392</v>
      </c>
    </row>
    <row r="11" spans="1:11" x14ac:dyDescent="0.35">
      <c r="A11" t="s">
        <v>41</v>
      </c>
      <c r="B11">
        <v>1199</v>
      </c>
      <c r="C11">
        <v>1803</v>
      </c>
      <c r="D11">
        <v>2192</v>
      </c>
      <c r="E11">
        <v>2895</v>
      </c>
      <c r="F11">
        <v>3843</v>
      </c>
      <c r="G11">
        <v>4183</v>
      </c>
      <c r="H11">
        <v>4043</v>
      </c>
      <c r="I11">
        <v>4192</v>
      </c>
      <c r="J11">
        <v>4747</v>
      </c>
      <c r="K11">
        <v>5290</v>
      </c>
    </row>
    <row r="12" spans="1:11" x14ac:dyDescent="0.35">
      <c r="A12" t="s">
        <v>42</v>
      </c>
      <c r="B12">
        <v>1129</v>
      </c>
      <c r="C12">
        <v>1729</v>
      </c>
      <c r="D12">
        <v>2469</v>
      </c>
      <c r="E12">
        <v>2812</v>
      </c>
      <c r="F12">
        <v>3547</v>
      </c>
      <c r="G12">
        <v>3866</v>
      </c>
      <c r="H12">
        <v>4209</v>
      </c>
      <c r="I12">
        <v>4334</v>
      </c>
      <c r="J12">
        <v>4749</v>
      </c>
      <c r="K12">
        <v>5266</v>
      </c>
    </row>
    <row r="13" spans="1:11" x14ac:dyDescent="0.35">
      <c r="A13" t="s">
        <v>43</v>
      </c>
      <c r="B13">
        <v>1150</v>
      </c>
      <c r="C13">
        <v>1754</v>
      </c>
      <c r="D13">
        <v>2198</v>
      </c>
      <c r="E13">
        <v>2826</v>
      </c>
      <c r="F13">
        <v>3608</v>
      </c>
      <c r="G13">
        <v>3928</v>
      </c>
      <c r="H13">
        <v>4029</v>
      </c>
      <c r="I13">
        <v>4372</v>
      </c>
      <c r="J13">
        <v>4745</v>
      </c>
      <c r="K13">
        <v>5072</v>
      </c>
    </row>
    <row r="14" spans="1:11" x14ac:dyDescent="0.35">
      <c r="A14" t="s">
        <v>44</v>
      </c>
      <c r="B14">
        <v>1237</v>
      </c>
      <c r="C14">
        <v>1791</v>
      </c>
      <c r="D14">
        <v>2816</v>
      </c>
      <c r="E14">
        <v>3014</v>
      </c>
      <c r="F14">
        <v>3384</v>
      </c>
      <c r="G14">
        <v>3684</v>
      </c>
      <c r="H14">
        <v>4096</v>
      </c>
      <c r="I14">
        <v>4413</v>
      </c>
      <c r="J14">
        <v>5100</v>
      </c>
      <c r="K14">
        <v>5502</v>
      </c>
    </row>
    <row r="15" spans="1:11" x14ac:dyDescent="0.35">
      <c r="A15" t="s">
        <v>45</v>
      </c>
      <c r="B15">
        <v>1202</v>
      </c>
      <c r="C15">
        <v>1696</v>
      </c>
      <c r="D15">
        <v>2215</v>
      </c>
      <c r="E15">
        <v>2914</v>
      </c>
      <c r="F15">
        <v>3778</v>
      </c>
      <c r="G15">
        <v>3997</v>
      </c>
      <c r="H15">
        <v>3904</v>
      </c>
      <c r="I15">
        <v>4282</v>
      </c>
      <c r="J15">
        <v>4893</v>
      </c>
      <c r="K15">
        <v>5333</v>
      </c>
    </row>
    <row r="16" spans="1:11" x14ac:dyDescent="0.35">
      <c r="A16" t="s">
        <v>47</v>
      </c>
      <c r="B16">
        <v>610</v>
      </c>
      <c r="C16">
        <v>850</v>
      </c>
      <c r="D16">
        <v>1121</v>
      </c>
      <c r="E16">
        <v>1324</v>
      </c>
      <c r="F16">
        <v>1725</v>
      </c>
      <c r="G16">
        <v>1832</v>
      </c>
      <c r="H16">
        <v>1835</v>
      </c>
      <c r="I16">
        <v>1933</v>
      </c>
      <c r="J16">
        <v>2062</v>
      </c>
      <c r="K16">
        <v>2252</v>
      </c>
    </row>
    <row r="17" spans="1:11" x14ac:dyDescent="0.35">
      <c r="A17" t="s">
        <v>48</v>
      </c>
      <c r="B17">
        <v>749</v>
      </c>
      <c r="C17">
        <v>1054</v>
      </c>
      <c r="D17">
        <v>1252</v>
      </c>
      <c r="E17">
        <v>1643</v>
      </c>
      <c r="F17">
        <v>1856</v>
      </c>
      <c r="G17">
        <v>1975</v>
      </c>
      <c r="H17">
        <v>2185</v>
      </c>
      <c r="I17">
        <v>2273</v>
      </c>
      <c r="J17">
        <v>2355</v>
      </c>
      <c r="K17">
        <v>2439</v>
      </c>
    </row>
    <row r="18" spans="1:11" x14ac:dyDescent="0.35">
      <c r="A18" t="s">
        <v>49</v>
      </c>
      <c r="B18">
        <v>776</v>
      </c>
      <c r="C18">
        <v>1142</v>
      </c>
      <c r="D18">
        <v>1216</v>
      </c>
      <c r="E18">
        <v>1401</v>
      </c>
      <c r="F18">
        <v>1945</v>
      </c>
      <c r="G18">
        <v>2071</v>
      </c>
      <c r="H18">
        <v>2192</v>
      </c>
      <c r="I18">
        <v>2125</v>
      </c>
      <c r="J18">
        <v>2342</v>
      </c>
      <c r="K18">
        <v>2519</v>
      </c>
    </row>
    <row r="19" spans="1:11" x14ac:dyDescent="0.35">
      <c r="A19" t="s">
        <v>50</v>
      </c>
      <c r="B19">
        <v>887</v>
      </c>
      <c r="C19">
        <v>1162</v>
      </c>
      <c r="D19">
        <v>1571</v>
      </c>
      <c r="E19">
        <v>1759</v>
      </c>
      <c r="F19">
        <v>2262</v>
      </c>
      <c r="G19">
        <v>2437</v>
      </c>
      <c r="H19">
        <v>2681</v>
      </c>
      <c r="I19">
        <v>2872</v>
      </c>
      <c r="J19">
        <v>3142</v>
      </c>
      <c r="K19">
        <v>3398</v>
      </c>
    </row>
    <row r="20" spans="1:11" x14ac:dyDescent="0.35">
      <c r="A20" t="s">
        <v>51</v>
      </c>
      <c r="B20">
        <v>819</v>
      </c>
      <c r="C20">
        <v>1085</v>
      </c>
      <c r="D20">
        <v>1468</v>
      </c>
      <c r="E20">
        <v>1856</v>
      </c>
      <c r="F20">
        <v>2324</v>
      </c>
      <c r="G20">
        <v>2540</v>
      </c>
      <c r="H20">
        <v>2427</v>
      </c>
      <c r="I20">
        <v>2515</v>
      </c>
      <c r="J20">
        <v>2881</v>
      </c>
      <c r="K20">
        <v>3200</v>
      </c>
    </row>
    <row r="21" spans="1:11" x14ac:dyDescent="0.35">
      <c r="A21" t="s">
        <v>52</v>
      </c>
      <c r="B21">
        <v>844</v>
      </c>
      <c r="C21">
        <v>1114</v>
      </c>
      <c r="D21">
        <v>1386</v>
      </c>
      <c r="E21">
        <v>1805</v>
      </c>
      <c r="F21">
        <v>2290</v>
      </c>
      <c r="G21">
        <v>2458</v>
      </c>
      <c r="H21">
        <v>2522</v>
      </c>
      <c r="I21">
        <v>2540</v>
      </c>
      <c r="J21">
        <v>2846</v>
      </c>
      <c r="K21">
        <v>3155</v>
      </c>
    </row>
    <row r="22" spans="1:11" x14ac:dyDescent="0.35">
      <c r="A22" t="s">
        <v>53</v>
      </c>
      <c r="B22">
        <v>1149</v>
      </c>
      <c r="C22">
        <v>1747</v>
      </c>
      <c r="D22">
        <v>2238</v>
      </c>
      <c r="E22">
        <v>3005</v>
      </c>
      <c r="F22">
        <v>4015</v>
      </c>
      <c r="G22">
        <v>4279</v>
      </c>
      <c r="H22">
        <v>3806</v>
      </c>
      <c r="I22">
        <v>3814</v>
      </c>
      <c r="J22">
        <v>4587</v>
      </c>
      <c r="K22">
        <v>4908</v>
      </c>
    </row>
    <row r="23" spans="1:11" x14ac:dyDescent="0.35">
      <c r="A23" t="s">
        <v>54</v>
      </c>
      <c r="B23">
        <v>929</v>
      </c>
      <c r="C23">
        <v>1212</v>
      </c>
      <c r="D23">
        <v>1437</v>
      </c>
      <c r="E23">
        <v>1684</v>
      </c>
      <c r="F23">
        <v>2047</v>
      </c>
      <c r="G23">
        <v>2250</v>
      </c>
      <c r="H23">
        <v>2297</v>
      </c>
      <c r="I23">
        <v>2471</v>
      </c>
      <c r="J23">
        <v>2701</v>
      </c>
      <c r="K23">
        <v>2884</v>
      </c>
    </row>
    <row r="24" spans="1:11" x14ac:dyDescent="0.35">
      <c r="A24" t="s">
        <v>55</v>
      </c>
      <c r="B24">
        <v>1103</v>
      </c>
      <c r="C24">
        <v>1568</v>
      </c>
      <c r="D24">
        <v>2174</v>
      </c>
      <c r="E24">
        <v>2778</v>
      </c>
      <c r="F24">
        <v>3450</v>
      </c>
      <c r="G24">
        <v>3773</v>
      </c>
      <c r="H24">
        <v>3930</v>
      </c>
      <c r="I24">
        <v>3966</v>
      </c>
      <c r="J24">
        <v>4297</v>
      </c>
      <c r="K24">
        <v>4636</v>
      </c>
    </row>
    <row r="25" spans="1:11" x14ac:dyDescent="0.35">
      <c r="A25" t="s">
        <v>56</v>
      </c>
      <c r="B25">
        <v>1126</v>
      </c>
      <c r="C25">
        <v>1579</v>
      </c>
      <c r="D25">
        <v>1954</v>
      </c>
      <c r="E25">
        <v>2375</v>
      </c>
      <c r="F25">
        <v>2892</v>
      </c>
      <c r="G25">
        <v>3182</v>
      </c>
      <c r="H25">
        <v>3331</v>
      </c>
      <c r="I25">
        <v>3589</v>
      </c>
      <c r="J25">
        <v>3911</v>
      </c>
      <c r="K25">
        <v>4330</v>
      </c>
    </row>
    <row r="26" spans="1:11" x14ac:dyDescent="0.35">
      <c r="A26" t="s">
        <v>57</v>
      </c>
      <c r="B26">
        <v>611</v>
      </c>
      <c r="C26">
        <v>819</v>
      </c>
      <c r="D26">
        <v>1200</v>
      </c>
      <c r="E26">
        <v>1221</v>
      </c>
      <c r="F26">
        <v>1477</v>
      </c>
      <c r="G26">
        <v>1583</v>
      </c>
      <c r="H26">
        <v>1737</v>
      </c>
      <c r="I26">
        <v>1821</v>
      </c>
      <c r="J26">
        <v>2080</v>
      </c>
      <c r="K26">
        <v>2182</v>
      </c>
    </row>
    <row r="27" spans="1:11" x14ac:dyDescent="0.35">
      <c r="A27" t="s">
        <v>58</v>
      </c>
      <c r="B27">
        <v>567</v>
      </c>
      <c r="C27">
        <v>758</v>
      </c>
      <c r="D27">
        <v>987</v>
      </c>
      <c r="E27">
        <v>1312</v>
      </c>
      <c r="F27">
        <v>1493</v>
      </c>
      <c r="G27">
        <v>1594</v>
      </c>
      <c r="H27">
        <v>1905</v>
      </c>
      <c r="I27">
        <v>2050</v>
      </c>
      <c r="J27">
        <v>2212</v>
      </c>
      <c r="K27">
        <v>2324</v>
      </c>
    </row>
    <row r="28" spans="1:11" x14ac:dyDescent="0.35">
      <c r="A28" t="s">
        <v>59</v>
      </c>
      <c r="B28">
        <v>802</v>
      </c>
      <c r="C28">
        <v>1020</v>
      </c>
      <c r="D28">
        <v>1178</v>
      </c>
      <c r="E28">
        <v>1288</v>
      </c>
      <c r="F28">
        <v>1483</v>
      </c>
      <c r="G28">
        <v>1605</v>
      </c>
      <c r="H28">
        <v>1745</v>
      </c>
      <c r="I28">
        <v>1834</v>
      </c>
      <c r="J28">
        <v>2141</v>
      </c>
      <c r="K28">
        <v>2392</v>
      </c>
    </row>
    <row r="29" spans="1:11" x14ac:dyDescent="0.35">
      <c r="A29" t="s">
        <v>60</v>
      </c>
      <c r="B29">
        <v>829</v>
      </c>
      <c r="C29">
        <v>1219</v>
      </c>
      <c r="D29">
        <v>1598</v>
      </c>
      <c r="E29">
        <v>1925</v>
      </c>
      <c r="F29">
        <v>2295</v>
      </c>
      <c r="G29">
        <v>2494</v>
      </c>
      <c r="H29">
        <v>2707</v>
      </c>
      <c r="I29">
        <v>2644</v>
      </c>
      <c r="J29">
        <v>3143</v>
      </c>
      <c r="K29">
        <v>3300</v>
      </c>
    </row>
    <row r="30" spans="1:11" x14ac:dyDescent="0.35">
      <c r="A30" t="s">
        <v>62</v>
      </c>
      <c r="B30">
        <v>840</v>
      </c>
      <c r="C30">
        <v>1207</v>
      </c>
      <c r="D30">
        <v>1635</v>
      </c>
      <c r="E30">
        <v>2212</v>
      </c>
      <c r="F30">
        <v>3015</v>
      </c>
      <c r="G30">
        <v>3277</v>
      </c>
      <c r="H30">
        <v>3510</v>
      </c>
      <c r="I30">
        <v>3652</v>
      </c>
      <c r="J30">
        <v>4309</v>
      </c>
      <c r="K30">
        <v>4653</v>
      </c>
    </row>
    <row r="31" spans="1:11" x14ac:dyDescent="0.35">
      <c r="A31" t="s">
        <v>63</v>
      </c>
      <c r="B31">
        <v>920</v>
      </c>
      <c r="C31">
        <v>1367</v>
      </c>
      <c r="D31">
        <v>1583</v>
      </c>
      <c r="E31">
        <v>1820</v>
      </c>
      <c r="F31">
        <v>2543</v>
      </c>
      <c r="G31">
        <v>2794</v>
      </c>
      <c r="H31">
        <v>3004</v>
      </c>
      <c r="I31">
        <v>3095</v>
      </c>
      <c r="J31">
        <v>3629</v>
      </c>
      <c r="K31">
        <v>4050</v>
      </c>
    </row>
    <row r="32" spans="1:11" x14ac:dyDescent="0.35">
      <c r="A32" t="s">
        <v>64</v>
      </c>
      <c r="B32">
        <v>840</v>
      </c>
      <c r="C32">
        <v>1299</v>
      </c>
      <c r="D32">
        <v>1810</v>
      </c>
      <c r="E32">
        <v>2078</v>
      </c>
      <c r="F32">
        <v>2844</v>
      </c>
      <c r="G32">
        <v>3123</v>
      </c>
      <c r="H32">
        <v>3230</v>
      </c>
      <c r="I32">
        <v>2981</v>
      </c>
      <c r="J32">
        <v>3486</v>
      </c>
      <c r="K32">
        <v>3811</v>
      </c>
    </row>
    <row r="33" spans="1:11" x14ac:dyDescent="0.35">
      <c r="A33" t="s">
        <v>65</v>
      </c>
      <c r="B33">
        <v>950</v>
      </c>
      <c r="C33">
        <v>1410</v>
      </c>
      <c r="D33">
        <v>1837</v>
      </c>
      <c r="E33">
        <v>2256</v>
      </c>
      <c r="F33">
        <v>2666</v>
      </c>
      <c r="G33">
        <v>2928</v>
      </c>
      <c r="H33">
        <v>3150</v>
      </c>
      <c r="I33">
        <v>3338</v>
      </c>
      <c r="J33">
        <v>3625</v>
      </c>
      <c r="K33">
        <v>3871</v>
      </c>
    </row>
    <row r="34" spans="1:11" x14ac:dyDescent="0.35">
      <c r="A34" t="s">
        <v>66</v>
      </c>
      <c r="B34">
        <v>951</v>
      </c>
      <c r="C34">
        <v>1300</v>
      </c>
      <c r="D34">
        <v>1673</v>
      </c>
      <c r="E34">
        <v>2044</v>
      </c>
      <c r="F34">
        <v>2543</v>
      </c>
      <c r="G34">
        <v>2762</v>
      </c>
      <c r="H34">
        <v>2853</v>
      </c>
      <c r="I34">
        <v>3026</v>
      </c>
      <c r="J34">
        <v>3382</v>
      </c>
      <c r="K34">
        <v>3582</v>
      </c>
    </row>
    <row r="35" spans="1:11" x14ac:dyDescent="0.35">
      <c r="A35" t="s">
        <v>67</v>
      </c>
      <c r="B35">
        <v>1058</v>
      </c>
      <c r="C35">
        <v>1747</v>
      </c>
      <c r="D35">
        <v>2175</v>
      </c>
      <c r="E35">
        <v>2604</v>
      </c>
      <c r="F35">
        <v>3084</v>
      </c>
      <c r="G35">
        <v>3423</v>
      </c>
      <c r="H35">
        <v>3212</v>
      </c>
      <c r="I35">
        <v>3525</v>
      </c>
      <c r="J35">
        <v>4281</v>
      </c>
      <c r="K35">
        <v>4703</v>
      </c>
    </row>
    <row r="36" spans="1:11" x14ac:dyDescent="0.35">
      <c r="A36" t="s">
        <v>68</v>
      </c>
      <c r="B36">
        <v>1897</v>
      </c>
      <c r="C36">
        <v>2865</v>
      </c>
      <c r="D36">
        <v>3612</v>
      </c>
      <c r="E36">
        <v>4441</v>
      </c>
      <c r="F36">
        <v>5506</v>
      </c>
      <c r="G36">
        <v>6057</v>
      </c>
      <c r="H36">
        <v>5284</v>
      </c>
      <c r="I36">
        <v>5230</v>
      </c>
      <c r="J36">
        <v>5807</v>
      </c>
      <c r="K36">
        <v>6224</v>
      </c>
    </row>
    <row r="37" spans="1:11" x14ac:dyDescent="0.35">
      <c r="A37" t="s">
        <v>69</v>
      </c>
      <c r="B37">
        <v>935</v>
      </c>
      <c r="C37">
        <v>1376</v>
      </c>
      <c r="D37">
        <v>1784</v>
      </c>
      <c r="E37">
        <v>2187</v>
      </c>
      <c r="F37">
        <v>2906</v>
      </c>
      <c r="G37">
        <v>3192</v>
      </c>
      <c r="H37">
        <v>3555</v>
      </c>
      <c r="I37">
        <v>3653</v>
      </c>
      <c r="J37">
        <v>3825</v>
      </c>
      <c r="K37">
        <v>3662</v>
      </c>
    </row>
    <row r="38" spans="1:11" x14ac:dyDescent="0.35">
      <c r="A38" t="s">
        <v>70</v>
      </c>
      <c r="B38">
        <v>909</v>
      </c>
      <c r="C38">
        <v>1300</v>
      </c>
      <c r="D38">
        <v>1619</v>
      </c>
      <c r="E38">
        <v>2153</v>
      </c>
      <c r="F38">
        <v>2900</v>
      </c>
      <c r="G38">
        <v>3084</v>
      </c>
      <c r="H38">
        <v>3159</v>
      </c>
      <c r="I38">
        <v>3219</v>
      </c>
      <c r="J38">
        <v>3717</v>
      </c>
      <c r="K38">
        <v>3922</v>
      </c>
    </row>
    <row r="39" spans="1:11" x14ac:dyDescent="0.35">
      <c r="A39" t="s">
        <v>71</v>
      </c>
      <c r="B39">
        <v>1150</v>
      </c>
      <c r="C39">
        <v>1719</v>
      </c>
      <c r="D39">
        <v>2346</v>
      </c>
      <c r="E39">
        <v>2605</v>
      </c>
      <c r="F39">
        <v>3024</v>
      </c>
      <c r="G39">
        <v>3355</v>
      </c>
      <c r="H39">
        <v>3441</v>
      </c>
      <c r="I39">
        <v>3469</v>
      </c>
      <c r="J39">
        <v>3897</v>
      </c>
      <c r="K39">
        <v>4364</v>
      </c>
    </row>
    <row r="40" spans="1:11" x14ac:dyDescent="0.35">
      <c r="A40" t="s">
        <v>72</v>
      </c>
      <c r="B40">
        <v>1013</v>
      </c>
      <c r="C40">
        <v>1440</v>
      </c>
      <c r="D40">
        <v>1979</v>
      </c>
      <c r="E40">
        <v>2358</v>
      </c>
      <c r="F40">
        <v>2837</v>
      </c>
      <c r="G40">
        <v>3080</v>
      </c>
      <c r="H40">
        <v>3224</v>
      </c>
      <c r="I40">
        <v>3296</v>
      </c>
      <c r="J40">
        <v>3475</v>
      </c>
      <c r="K40">
        <v>3657</v>
      </c>
    </row>
    <row r="41" spans="1:11" x14ac:dyDescent="0.35">
      <c r="A41" t="s">
        <v>73</v>
      </c>
      <c r="B41">
        <v>1258</v>
      </c>
      <c r="C41">
        <v>1896</v>
      </c>
      <c r="D41">
        <v>2670</v>
      </c>
      <c r="E41">
        <v>2891</v>
      </c>
      <c r="F41">
        <v>3455</v>
      </c>
      <c r="G41">
        <v>3797</v>
      </c>
      <c r="H41">
        <v>3153</v>
      </c>
      <c r="I41">
        <v>3236</v>
      </c>
      <c r="J41">
        <v>3729</v>
      </c>
      <c r="K41">
        <v>4025</v>
      </c>
    </row>
    <row r="42" spans="1:11" x14ac:dyDescent="0.35">
      <c r="A42" t="s">
        <v>74</v>
      </c>
      <c r="B42">
        <v>947</v>
      </c>
      <c r="C42">
        <v>1637</v>
      </c>
      <c r="D42">
        <v>2331</v>
      </c>
      <c r="E42">
        <v>2340</v>
      </c>
      <c r="F42">
        <v>2631</v>
      </c>
      <c r="G42">
        <v>2834</v>
      </c>
      <c r="H42">
        <v>2918</v>
      </c>
      <c r="I42">
        <v>2855</v>
      </c>
      <c r="J42">
        <v>3040</v>
      </c>
      <c r="K42">
        <v>3326</v>
      </c>
    </row>
    <row r="43" spans="1:11" x14ac:dyDescent="0.35">
      <c r="A43" t="s">
        <v>75</v>
      </c>
      <c r="B43">
        <v>1160</v>
      </c>
      <c r="C43">
        <v>1747</v>
      </c>
      <c r="D43">
        <v>2395</v>
      </c>
      <c r="E43">
        <v>2714</v>
      </c>
      <c r="F43">
        <v>3445</v>
      </c>
      <c r="G43">
        <v>3718</v>
      </c>
      <c r="H43">
        <v>3981</v>
      </c>
      <c r="I43">
        <v>4077</v>
      </c>
      <c r="J43">
        <v>4307</v>
      </c>
      <c r="K43">
        <v>4571</v>
      </c>
    </row>
    <row r="44" spans="1:11" x14ac:dyDescent="0.35">
      <c r="A44" t="s">
        <v>77</v>
      </c>
      <c r="B44">
        <v>947</v>
      </c>
      <c r="C44">
        <v>1294</v>
      </c>
      <c r="D44">
        <v>1587</v>
      </c>
      <c r="E44">
        <v>1951</v>
      </c>
      <c r="F44">
        <v>2007</v>
      </c>
      <c r="G44">
        <v>2147</v>
      </c>
      <c r="H44">
        <v>2375</v>
      </c>
      <c r="I44">
        <v>2517</v>
      </c>
      <c r="J44">
        <v>2927</v>
      </c>
      <c r="K44">
        <v>3210</v>
      </c>
    </row>
    <row r="45" spans="1:11" x14ac:dyDescent="0.35">
      <c r="A45" t="s">
        <v>78</v>
      </c>
      <c r="B45">
        <v>1027</v>
      </c>
      <c r="C45">
        <v>1563</v>
      </c>
      <c r="D45">
        <v>1760</v>
      </c>
      <c r="E45">
        <v>1950</v>
      </c>
      <c r="F45">
        <v>2586</v>
      </c>
      <c r="G45">
        <v>2755</v>
      </c>
      <c r="H45">
        <v>2314</v>
      </c>
      <c r="I45">
        <v>2329</v>
      </c>
      <c r="J45">
        <v>2567</v>
      </c>
      <c r="K45">
        <v>2805</v>
      </c>
    </row>
    <row r="46" spans="1:11" x14ac:dyDescent="0.35">
      <c r="A46" t="s">
        <v>79</v>
      </c>
      <c r="B46">
        <v>1068</v>
      </c>
      <c r="C46">
        <v>1639</v>
      </c>
      <c r="D46">
        <v>1988</v>
      </c>
      <c r="E46">
        <v>2329</v>
      </c>
      <c r="F46">
        <v>2748</v>
      </c>
      <c r="G46">
        <v>2997</v>
      </c>
      <c r="H46">
        <v>2715</v>
      </c>
      <c r="I46">
        <v>2811</v>
      </c>
      <c r="J46">
        <v>3238</v>
      </c>
      <c r="K46">
        <v>3486</v>
      </c>
    </row>
    <row r="47" spans="1:11" x14ac:dyDescent="0.35">
      <c r="A47" t="s">
        <v>80</v>
      </c>
      <c r="B47">
        <v>1039</v>
      </c>
      <c r="C47">
        <v>1611</v>
      </c>
      <c r="D47">
        <v>1824</v>
      </c>
      <c r="E47">
        <v>2335</v>
      </c>
      <c r="F47">
        <v>3030</v>
      </c>
      <c r="G47">
        <v>3234</v>
      </c>
      <c r="H47">
        <v>2809</v>
      </c>
      <c r="I47">
        <v>2745</v>
      </c>
      <c r="J47">
        <v>3183</v>
      </c>
      <c r="K47">
        <v>3388</v>
      </c>
    </row>
    <row r="48" spans="1:11" x14ac:dyDescent="0.35">
      <c r="A48" t="s">
        <v>81</v>
      </c>
      <c r="B48">
        <v>1257</v>
      </c>
      <c r="C48">
        <v>1848</v>
      </c>
      <c r="D48">
        <v>2499</v>
      </c>
      <c r="E48">
        <v>2979</v>
      </c>
      <c r="F48">
        <v>3641</v>
      </c>
      <c r="G48">
        <v>3929</v>
      </c>
      <c r="H48">
        <v>3742</v>
      </c>
      <c r="I48">
        <v>3718</v>
      </c>
      <c r="J48">
        <v>4428</v>
      </c>
      <c r="K48">
        <v>4857</v>
      </c>
    </row>
    <row r="49" spans="1:11" x14ac:dyDescent="0.35">
      <c r="A49" t="s">
        <v>82</v>
      </c>
      <c r="B49">
        <v>2304</v>
      </c>
      <c r="C49">
        <v>3173</v>
      </c>
      <c r="D49">
        <v>4125</v>
      </c>
      <c r="E49">
        <v>4662</v>
      </c>
      <c r="F49">
        <v>5709</v>
      </c>
      <c r="G49">
        <v>6280</v>
      </c>
      <c r="H49">
        <v>6025</v>
      </c>
      <c r="I49">
        <v>5794</v>
      </c>
      <c r="J49">
        <v>6334</v>
      </c>
      <c r="K49">
        <v>6520</v>
      </c>
    </row>
    <row r="50" spans="1:11" x14ac:dyDescent="0.35">
      <c r="A50" t="s">
        <v>83</v>
      </c>
      <c r="B50">
        <v>1526</v>
      </c>
      <c r="C50">
        <v>2218</v>
      </c>
      <c r="D50">
        <v>2693</v>
      </c>
      <c r="E50">
        <v>3148</v>
      </c>
      <c r="F50">
        <v>3604</v>
      </c>
      <c r="G50">
        <v>3881</v>
      </c>
      <c r="H50">
        <v>4039</v>
      </c>
      <c r="I50">
        <v>4002</v>
      </c>
      <c r="J50">
        <v>4592</v>
      </c>
      <c r="K50">
        <v>4800</v>
      </c>
    </row>
    <row r="51" spans="1:11" x14ac:dyDescent="0.35">
      <c r="A51" t="s">
        <v>84</v>
      </c>
      <c r="B51">
        <v>1435</v>
      </c>
      <c r="C51">
        <v>2100</v>
      </c>
      <c r="D51">
        <v>2796</v>
      </c>
      <c r="E51">
        <v>3391</v>
      </c>
      <c r="F51">
        <v>4258</v>
      </c>
      <c r="G51">
        <v>4549</v>
      </c>
      <c r="H51">
        <v>4246</v>
      </c>
      <c r="I51">
        <v>4036</v>
      </c>
      <c r="J51">
        <v>4617</v>
      </c>
      <c r="K51">
        <v>4876</v>
      </c>
    </row>
    <row r="52" spans="1:11" x14ac:dyDescent="0.35">
      <c r="A52" t="s">
        <v>85</v>
      </c>
      <c r="B52">
        <v>2698</v>
      </c>
      <c r="C52">
        <v>3568</v>
      </c>
      <c r="D52">
        <v>3769</v>
      </c>
      <c r="E52">
        <v>5005</v>
      </c>
      <c r="F52">
        <v>6823</v>
      </c>
      <c r="G52">
        <v>7433</v>
      </c>
      <c r="H52">
        <v>7034</v>
      </c>
      <c r="I52">
        <v>7123</v>
      </c>
      <c r="J52">
        <v>8076</v>
      </c>
      <c r="K52">
        <v>8298</v>
      </c>
    </row>
    <row r="53" spans="1:11" x14ac:dyDescent="0.35">
      <c r="A53" t="s">
        <v>86</v>
      </c>
      <c r="B53">
        <v>1763</v>
      </c>
      <c r="C53">
        <v>2577</v>
      </c>
      <c r="D53">
        <v>3504</v>
      </c>
      <c r="E53">
        <v>4328</v>
      </c>
      <c r="F53">
        <v>5300</v>
      </c>
      <c r="G53">
        <v>5860</v>
      </c>
      <c r="H53">
        <v>5621</v>
      </c>
      <c r="I53">
        <v>5751</v>
      </c>
      <c r="J53">
        <v>6346</v>
      </c>
      <c r="K53">
        <v>6579</v>
      </c>
    </row>
    <row r="54" spans="1:11" x14ac:dyDescent="0.35">
      <c r="A54" t="s">
        <v>87</v>
      </c>
      <c r="B54">
        <v>1695</v>
      </c>
      <c r="C54">
        <v>2904</v>
      </c>
      <c r="D54">
        <v>3752</v>
      </c>
      <c r="E54">
        <v>4413</v>
      </c>
      <c r="F54">
        <v>4881</v>
      </c>
      <c r="G54">
        <v>5310</v>
      </c>
      <c r="H54">
        <v>4610</v>
      </c>
      <c r="I54">
        <v>4419</v>
      </c>
      <c r="J54">
        <v>4815</v>
      </c>
      <c r="K54">
        <v>5340</v>
      </c>
    </row>
    <row r="55" spans="1:11" x14ac:dyDescent="0.35">
      <c r="A55" t="s">
        <v>88</v>
      </c>
      <c r="B55">
        <v>2737</v>
      </c>
      <c r="C55">
        <v>3653</v>
      </c>
      <c r="D55">
        <v>4840</v>
      </c>
      <c r="E55">
        <v>5109</v>
      </c>
      <c r="F55">
        <v>6177</v>
      </c>
      <c r="G55">
        <v>6758</v>
      </c>
      <c r="H55">
        <v>6537</v>
      </c>
      <c r="I55">
        <v>6008</v>
      </c>
      <c r="J55">
        <v>6392</v>
      </c>
      <c r="K55">
        <v>6516</v>
      </c>
    </row>
    <row r="56" spans="1:11" x14ac:dyDescent="0.35">
      <c r="A56" t="s">
        <v>90</v>
      </c>
      <c r="B56">
        <v>1289</v>
      </c>
      <c r="C56">
        <v>1956</v>
      </c>
      <c r="D56">
        <v>2430</v>
      </c>
      <c r="E56">
        <v>3242</v>
      </c>
      <c r="F56">
        <v>4215</v>
      </c>
      <c r="G56">
        <v>4544</v>
      </c>
      <c r="H56">
        <v>4232</v>
      </c>
      <c r="I56">
        <v>3725</v>
      </c>
      <c r="J56">
        <v>3865</v>
      </c>
      <c r="K56">
        <v>4236</v>
      </c>
    </row>
    <row r="57" spans="1:11" x14ac:dyDescent="0.35">
      <c r="A57" t="s">
        <v>91</v>
      </c>
      <c r="B57">
        <v>1313</v>
      </c>
      <c r="C57">
        <v>1941</v>
      </c>
      <c r="D57">
        <v>2596</v>
      </c>
      <c r="E57">
        <v>3139</v>
      </c>
      <c r="F57">
        <v>3984</v>
      </c>
      <c r="G57">
        <v>4296</v>
      </c>
      <c r="H57">
        <v>4534</v>
      </c>
      <c r="I57">
        <v>3932</v>
      </c>
      <c r="J57">
        <v>4118</v>
      </c>
      <c r="K57">
        <v>4601</v>
      </c>
    </row>
    <row r="58" spans="1:11" x14ac:dyDescent="0.35">
      <c r="A58" t="s">
        <v>92</v>
      </c>
      <c r="B58">
        <v>1200</v>
      </c>
      <c r="C58">
        <v>1580</v>
      </c>
      <c r="D58">
        <v>2162</v>
      </c>
      <c r="E58">
        <v>2450</v>
      </c>
      <c r="F58">
        <v>3409</v>
      </c>
      <c r="G58">
        <v>3685</v>
      </c>
      <c r="H58">
        <v>3544</v>
      </c>
      <c r="I58">
        <v>3367</v>
      </c>
      <c r="J58">
        <v>3840</v>
      </c>
      <c r="K58">
        <v>4009</v>
      </c>
    </row>
    <row r="59" spans="1:11" x14ac:dyDescent="0.35">
      <c r="A59" t="s">
        <v>93</v>
      </c>
      <c r="B59">
        <v>1089</v>
      </c>
      <c r="C59">
        <v>1398</v>
      </c>
      <c r="D59">
        <v>2098</v>
      </c>
      <c r="E59">
        <v>2220</v>
      </c>
      <c r="F59">
        <v>2869</v>
      </c>
      <c r="G59">
        <v>3138</v>
      </c>
      <c r="H59">
        <v>3437</v>
      </c>
      <c r="I59">
        <v>3290</v>
      </c>
      <c r="J59">
        <v>3711</v>
      </c>
      <c r="K59">
        <v>3859</v>
      </c>
    </row>
    <row r="60" spans="1:11" x14ac:dyDescent="0.35">
      <c r="A60" t="s">
        <v>94</v>
      </c>
      <c r="B60">
        <v>1239</v>
      </c>
      <c r="C60">
        <v>1744</v>
      </c>
      <c r="D60">
        <v>2205</v>
      </c>
      <c r="E60">
        <v>2378</v>
      </c>
      <c r="F60">
        <v>3089</v>
      </c>
      <c r="G60">
        <v>3329</v>
      </c>
      <c r="H60">
        <v>3201</v>
      </c>
      <c r="I60">
        <v>3173</v>
      </c>
      <c r="J60">
        <v>3502</v>
      </c>
      <c r="K60">
        <v>3757</v>
      </c>
    </row>
    <row r="61" spans="1:11" x14ac:dyDescent="0.35">
      <c r="A61" t="s">
        <v>95</v>
      </c>
      <c r="B61">
        <v>1138</v>
      </c>
      <c r="C61">
        <v>1666</v>
      </c>
      <c r="D61">
        <v>2134</v>
      </c>
      <c r="E61">
        <v>2691</v>
      </c>
      <c r="F61">
        <v>3500</v>
      </c>
      <c r="G61">
        <v>3777</v>
      </c>
      <c r="H61">
        <v>3965</v>
      </c>
      <c r="I61">
        <v>4199</v>
      </c>
      <c r="J61">
        <v>4547</v>
      </c>
      <c r="K61">
        <v>4906</v>
      </c>
    </row>
    <row r="62" spans="1:11" x14ac:dyDescent="0.35">
      <c r="A62" t="s">
        <v>96</v>
      </c>
      <c r="B62">
        <v>1319</v>
      </c>
      <c r="C62">
        <v>1871</v>
      </c>
      <c r="D62">
        <v>2472</v>
      </c>
      <c r="E62">
        <v>2892</v>
      </c>
      <c r="F62">
        <v>3560</v>
      </c>
      <c r="G62">
        <v>3841</v>
      </c>
      <c r="H62">
        <v>3338</v>
      </c>
      <c r="I62">
        <v>3406</v>
      </c>
      <c r="J62">
        <v>3646</v>
      </c>
      <c r="K62">
        <v>3897</v>
      </c>
    </row>
    <row r="63" spans="1:11" x14ac:dyDescent="0.35">
      <c r="A63" t="s">
        <v>97</v>
      </c>
      <c r="B63">
        <v>1316</v>
      </c>
      <c r="C63">
        <v>1963</v>
      </c>
      <c r="D63">
        <v>2642</v>
      </c>
      <c r="E63">
        <v>3016</v>
      </c>
      <c r="F63">
        <v>3779</v>
      </c>
      <c r="G63">
        <v>4079</v>
      </c>
      <c r="H63">
        <v>4369</v>
      </c>
      <c r="I63">
        <v>3986</v>
      </c>
      <c r="J63">
        <v>4287</v>
      </c>
      <c r="K63">
        <v>4723</v>
      </c>
    </row>
    <row r="64" spans="1:11" x14ac:dyDescent="0.35">
      <c r="A64" t="s">
        <v>98</v>
      </c>
      <c r="B64">
        <v>1540</v>
      </c>
      <c r="C64">
        <v>2325</v>
      </c>
      <c r="D64">
        <v>2673</v>
      </c>
      <c r="E64">
        <v>3365</v>
      </c>
      <c r="F64">
        <v>4371</v>
      </c>
      <c r="G64">
        <v>4713</v>
      </c>
      <c r="H64">
        <v>5031</v>
      </c>
      <c r="I64">
        <v>4794</v>
      </c>
      <c r="J64">
        <v>5324</v>
      </c>
      <c r="K64">
        <v>5579</v>
      </c>
    </row>
    <row r="65" spans="1:11" x14ac:dyDescent="0.35">
      <c r="A65" t="s">
        <v>99</v>
      </c>
      <c r="B65">
        <v>1098</v>
      </c>
      <c r="C65">
        <v>1527</v>
      </c>
      <c r="D65">
        <v>2088</v>
      </c>
      <c r="E65">
        <v>2611</v>
      </c>
      <c r="F65">
        <v>3548</v>
      </c>
      <c r="G65">
        <v>3871</v>
      </c>
      <c r="H65">
        <v>3974</v>
      </c>
      <c r="I65">
        <v>3761</v>
      </c>
      <c r="J65">
        <v>4185</v>
      </c>
      <c r="K65">
        <v>4235</v>
      </c>
    </row>
    <row r="66" spans="1:11" x14ac:dyDescent="0.35">
      <c r="A66" t="s">
        <v>100</v>
      </c>
      <c r="B66">
        <v>1029</v>
      </c>
      <c r="C66">
        <v>1324</v>
      </c>
      <c r="D66">
        <v>1913</v>
      </c>
      <c r="E66">
        <v>2548</v>
      </c>
      <c r="F66">
        <v>3653</v>
      </c>
      <c r="G66">
        <v>3898</v>
      </c>
      <c r="H66">
        <v>3635</v>
      </c>
      <c r="I66">
        <v>3246</v>
      </c>
      <c r="J66">
        <v>3651</v>
      </c>
      <c r="K66">
        <v>3912</v>
      </c>
    </row>
    <row r="67" spans="1:11" x14ac:dyDescent="0.35">
      <c r="A67" t="s">
        <v>101</v>
      </c>
      <c r="B67">
        <v>1273</v>
      </c>
      <c r="C67">
        <v>2035</v>
      </c>
      <c r="D67">
        <v>2214</v>
      </c>
      <c r="E67">
        <v>2319</v>
      </c>
      <c r="F67">
        <v>2699</v>
      </c>
      <c r="G67">
        <v>2965</v>
      </c>
      <c r="H67">
        <v>3338</v>
      </c>
      <c r="I67">
        <v>3642</v>
      </c>
      <c r="J67">
        <v>4305</v>
      </c>
      <c r="K67">
        <v>4755</v>
      </c>
    </row>
    <row r="68" spans="1:11" x14ac:dyDescent="0.35">
      <c r="A68" t="s">
        <v>102</v>
      </c>
      <c r="B68">
        <v>1250</v>
      </c>
      <c r="C68">
        <v>1779</v>
      </c>
      <c r="D68">
        <v>2154</v>
      </c>
      <c r="E68">
        <v>2372</v>
      </c>
      <c r="F68">
        <v>2986</v>
      </c>
      <c r="G68">
        <v>3214</v>
      </c>
      <c r="H68">
        <v>3034</v>
      </c>
      <c r="I68">
        <v>3239</v>
      </c>
      <c r="J68">
        <v>3768</v>
      </c>
      <c r="K68">
        <v>4096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40BB3-4D0F-4330-953C-F140DCEB9E1A}">
  <dimension ref="A1:F67"/>
  <sheetViews>
    <sheetView workbookViewId="0">
      <selection activeCell="A3" sqref="A3"/>
    </sheetView>
  </sheetViews>
  <sheetFormatPr defaultRowHeight="14.5" x14ac:dyDescent="0.35"/>
  <sheetData>
    <row r="1" spans="1:6" x14ac:dyDescent="0.35">
      <c r="A1" t="s">
        <v>111</v>
      </c>
    </row>
    <row r="3" spans="1:6" x14ac:dyDescent="0.35">
      <c r="A3" t="s">
        <v>32</v>
      </c>
      <c r="B3">
        <v>2018</v>
      </c>
      <c r="C3">
        <v>2019</v>
      </c>
      <c r="D3">
        <v>2020</v>
      </c>
      <c r="E3">
        <v>2021</v>
      </c>
      <c r="F3" t="s">
        <v>2</v>
      </c>
    </row>
    <row r="4" spans="1:6" x14ac:dyDescent="0.35">
      <c r="A4" t="s">
        <v>104</v>
      </c>
      <c r="B4">
        <v>0.69299999999999995</v>
      </c>
      <c r="C4">
        <v>0.70299999999999996</v>
      </c>
      <c r="D4">
        <v>0.70599999999999996</v>
      </c>
      <c r="E4">
        <v>0.72599999999999998</v>
      </c>
      <c r="F4">
        <v>0.73699999999999999</v>
      </c>
    </row>
    <row r="5" spans="1:6" x14ac:dyDescent="0.35">
      <c r="A5" t="s">
        <v>96</v>
      </c>
      <c r="B5">
        <v>0.63600000000000001</v>
      </c>
      <c r="C5">
        <v>0.64300000000000002</v>
      </c>
      <c r="D5">
        <v>0.65100000000000002</v>
      </c>
      <c r="E5">
        <v>0.65600000000000003</v>
      </c>
      <c r="F5">
        <v>0.66300000000000003</v>
      </c>
    </row>
    <row r="6" spans="1:6" x14ac:dyDescent="0.35">
      <c r="A6" t="s">
        <v>87</v>
      </c>
      <c r="B6">
        <v>0.78900000000000003</v>
      </c>
      <c r="C6">
        <v>0.79900000000000004</v>
      </c>
      <c r="D6">
        <v>0.79300000000000004</v>
      </c>
      <c r="E6">
        <v>0.79900000000000004</v>
      </c>
      <c r="F6">
        <v>0.82099999999999995</v>
      </c>
    </row>
    <row r="7" spans="1:6" x14ac:dyDescent="0.35">
      <c r="A7" t="s">
        <v>55</v>
      </c>
      <c r="B7">
        <v>0.69099999999999995</v>
      </c>
      <c r="C7">
        <v>0.70199999999999996</v>
      </c>
      <c r="D7">
        <v>0.71399999999999997</v>
      </c>
      <c r="E7">
        <v>0.72</v>
      </c>
      <c r="F7">
        <v>0.73699999999999999</v>
      </c>
    </row>
    <row r="8" spans="1:6" x14ac:dyDescent="0.35">
      <c r="A8" t="s">
        <v>49</v>
      </c>
      <c r="B8">
        <v>0.65600000000000003</v>
      </c>
      <c r="C8">
        <v>0.66200000000000003</v>
      </c>
      <c r="D8">
        <v>0.66400000000000003</v>
      </c>
      <c r="E8">
        <v>0.67500000000000004</v>
      </c>
      <c r="F8">
        <v>0.68899999999999995</v>
      </c>
    </row>
    <row r="9" spans="1:6" x14ac:dyDescent="0.35">
      <c r="A9" t="s">
        <v>101</v>
      </c>
      <c r="B9">
        <v>0.64200000000000002</v>
      </c>
      <c r="C9">
        <v>0.64800000000000002</v>
      </c>
      <c r="D9">
        <v>0.65200000000000002</v>
      </c>
      <c r="E9">
        <v>0.65900000000000003</v>
      </c>
      <c r="F9">
        <v>0.67</v>
      </c>
    </row>
    <row r="10" spans="1:6" x14ac:dyDescent="0.35">
      <c r="A10" t="s">
        <v>37</v>
      </c>
      <c r="B10">
        <v>0.76200000000000001</v>
      </c>
      <c r="C10">
        <v>0.76400000000000001</v>
      </c>
      <c r="D10">
        <v>0.76800000000000002</v>
      </c>
      <c r="E10">
        <v>0.77100000000000002</v>
      </c>
      <c r="F10">
        <v>0.77900000000000003</v>
      </c>
    </row>
    <row r="11" spans="1:6" x14ac:dyDescent="0.35">
      <c r="A11" t="s">
        <v>92</v>
      </c>
      <c r="B11">
        <v>0.65</v>
      </c>
      <c r="C11">
        <v>0.65900000000000003</v>
      </c>
      <c r="D11">
        <v>0.66400000000000003</v>
      </c>
      <c r="E11">
        <v>0.66800000000000004</v>
      </c>
      <c r="F11">
        <v>0.68300000000000005</v>
      </c>
    </row>
    <row r="12" spans="1:6" x14ac:dyDescent="0.35">
      <c r="A12" t="s">
        <v>106</v>
      </c>
      <c r="B12">
        <v>0.73299999999999998</v>
      </c>
      <c r="C12">
        <v>0.74</v>
      </c>
      <c r="D12">
        <v>0.73599999999999999</v>
      </c>
      <c r="E12">
        <v>0.745</v>
      </c>
      <c r="F12">
        <v>0.75600000000000001</v>
      </c>
    </row>
    <row r="13" spans="1:6" x14ac:dyDescent="0.35">
      <c r="A13" t="s">
        <v>71</v>
      </c>
      <c r="B13">
        <v>0.68100000000000005</v>
      </c>
      <c r="C13">
        <v>0.69099999999999995</v>
      </c>
      <c r="D13">
        <v>0.70199999999999996</v>
      </c>
      <c r="E13">
        <v>0.70699999999999996</v>
      </c>
      <c r="F13">
        <v>0.72199999999999998</v>
      </c>
    </row>
    <row r="14" spans="1:6" x14ac:dyDescent="0.35">
      <c r="A14" t="s">
        <v>83</v>
      </c>
      <c r="B14">
        <v>0.66400000000000003</v>
      </c>
      <c r="C14">
        <v>0.67800000000000005</v>
      </c>
      <c r="D14">
        <v>0.68600000000000005</v>
      </c>
      <c r="E14">
        <v>0.69</v>
      </c>
      <c r="F14">
        <v>0.70899999999999996</v>
      </c>
    </row>
    <row r="15" spans="1:6" x14ac:dyDescent="0.35">
      <c r="A15" t="s">
        <v>75</v>
      </c>
      <c r="B15">
        <v>0.65900000000000003</v>
      </c>
      <c r="C15">
        <v>0.68100000000000005</v>
      </c>
      <c r="D15">
        <v>0.68400000000000005</v>
      </c>
      <c r="E15">
        <v>0.69199999999999995</v>
      </c>
      <c r="F15">
        <v>0.70299999999999996</v>
      </c>
    </row>
    <row r="16" spans="1:6" x14ac:dyDescent="0.35">
      <c r="A16" t="s">
        <v>102</v>
      </c>
      <c r="B16">
        <v>0.65900000000000003</v>
      </c>
      <c r="C16">
        <v>0.66100000000000003</v>
      </c>
      <c r="D16">
        <v>0.66800000000000004</v>
      </c>
      <c r="E16">
        <v>0.67200000000000004</v>
      </c>
      <c r="F16">
        <v>0.68700000000000006</v>
      </c>
    </row>
    <row r="17" spans="1:6" x14ac:dyDescent="0.35">
      <c r="A17" t="s">
        <v>98</v>
      </c>
      <c r="B17">
        <v>0.70399999999999996</v>
      </c>
      <c r="C17">
        <v>0.72399999999999998</v>
      </c>
      <c r="D17">
        <v>0.71899999999999997</v>
      </c>
      <c r="E17">
        <v>0.72299999999999998</v>
      </c>
      <c r="F17">
        <v>0.74199999999999999</v>
      </c>
    </row>
    <row r="18" spans="1:6" x14ac:dyDescent="0.35">
      <c r="A18" t="s">
        <v>48</v>
      </c>
      <c r="B18">
        <v>0.624</v>
      </c>
      <c r="C18">
        <v>0.63300000000000001</v>
      </c>
      <c r="D18">
        <v>0.64100000000000001</v>
      </c>
      <c r="E18">
        <v>0.64800000000000002</v>
      </c>
      <c r="F18">
        <v>0.65900000000000003</v>
      </c>
    </row>
    <row r="19" spans="1:6" x14ac:dyDescent="0.35">
      <c r="A19" t="s">
        <v>68</v>
      </c>
      <c r="B19">
        <v>0.77300000000000002</v>
      </c>
      <c r="C19">
        <v>0.78800000000000003</v>
      </c>
      <c r="D19">
        <v>0.77900000000000003</v>
      </c>
      <c r="E19">
        <v>0.79</v>
      </c>
      <c r="F19">
        <v>0.8</v>
      </c>
    </row>
    <row r="20" spans="1:6" x14ac:dyDescent="0.35">
      <c r="A20" t="s">
        <v>79</v>
      </c>
      <c r="B20">
        <v>0.63600000000000001</v>
      </c>
      <c r="C20">
        <v>0.65400000000000003</v>
      </c>
      <c r="D20">
        <v>0.64800000000000002</v>
      </c>
      <c r="E20">
        <v>0.68</v>
      </c>
      <c r="F20">
        <v>0.68200000000000005</v>
      </c>
    </row>
    <row r="21" spans="1:6" x14ac:dyDescent="0.35">
      <c r="A21" t="s">
        <v>80</v>
      </c>
      <c r="B21">
        <v>0.64300000000000002</v>
      </c>
      <c r="C21">
        <v>0.64600000000000002</v>
      </c>
      <c r="D21">
        <v>0.65700000000000003</v>
      </c>
      <c r="E21">
        <v>0.67200000000000004</v>
      </c>
      <c r="F21">
        <v>0.68400000000000005</v>
      </c>
    </row>
    <row r="22" spans="1:6" x14ac:dyDescent="0.35">
      <c r="A22" t="s">
        <v>57</v>
      </c>
      <c r="B22">
        <v>0.58799999999999997</v>
      </c>
      <c r="C22">
        <v>0.58899999999999997</v>
      </c>
      <c r="D22">
        <v>0.60199999999999998</v>
      </c>
      <c r="E22">
        <v>0.61</v>
      </c>
      <c r="F22">
        <v>0.61799999999999999</v>
      </c>
    </row>
    <row r="23" spans="1:6" x14ac:dyDescent="0.35">
      <c r="A23" t="s">
        <v>86</v>
      </c>
      <c r="B23">
        <v>0.74199999999999999</v>
      </c>
      <c r="C23">
        <v>0.749</v>
      </c>
      <c r="D23">
        <v>0.753</v>
      </c>
      <c r="E23">
        <v>0.75900000000000001</v>
      </c>
      <c r="F23">
        <v>0.76600000000000001</v>
      </c>
    </row>
    <row r="24" spans="1:6" x14ac:dyDescent="0.35">
      <c r="A24" t="s">
        <v>95</v>
      </c>
      <c r="B24">
        <v>0.65200000000000002</v>
      </c>
      <c r="C24">
        <v>0.66500000000000004</v>
      </c>
      <c r="D24">
        <v>0.67</v>
      </c>
      <c r="E24">
        <v>0.67700000000000005</v>
      </c>
      <c r="F24">
        <v>0.68899999999999995</v>
      </c>
    </row>
    <row r="25" spans="1:6" x14ac:dyDescent="0.35">
      <c r="A25" t="s">
        <v>78</v>
      </c>
      <c r="B25">
        <v>0.61799999999999999</v>
      </c>
      <c r="C25">
        <v>0.622</v>
      </c>
      <c r="D25">
        <v>0.624</v>
      </c>
      <c r="E25">
        <v>0.64200000000000002</v>
      </c>
      <c r="F25">
        <v>0.66300000000000003</v>
      </c>
    </row>
    <row r="26" spans="1:6" x14ac:dyDescent="0.35">
      <c r="A26" t="s">
        <v>47</v>
      </c>
      <c r="B26">
        <v>0.56499999999999995</v>
      </c>
      <c r="C26">
        <v>0.57899999999999996</v>
      </c>
      <c r="D26">
        <v>0.59099999999999997</v>
      </c>
      <c r="E26">
        <v>0.59099999999999997</v>
      </c>
      <c r="F26">
        <v>0.60299999999999998</v>
      </c>
    </row>
    <row r="27" spans="1:6" x14ac:dyDescent="0.35">
      <c r="A27" t="s">
        <v>43</v>
      </c>
      <c r="B27">
        <v>0.70699999999999996</v>
      </c>
      <c r="C27">
        <v>0.72399999999999998</v>
      </c>
      <c r="D27">
        <v>0.72899999999999998</v>
      </c>
      <c r="E27">
        <v>0.74</v>
      </c>
      <c r="F27">
        <v>0.75900000000000001</v>
      </c>
    </row>
    <row r="28" spans="1:6" x14ac:dyDescent="0.35">
      <c r="A28" t="s">
        <v>35</v>
      </c>
      <c r="B28">
        <v>0.79400000000000004</v>
      </c>
      <c r="C28">
        <v>0.79900000000000004</v>
      </c>
      <c r="D28">
        <v>0.79900000000000004</v>
      </c>
      <c r="E28">
        <v>0.80900000000000005</v>
      </c>
      <c r="F28">
        <v>0.81799999999999995</v>
      </c>
    </row>
    <row r="29" spans="1:6" x14ac:dyDescent="0.35">
      <c r="A29" t="s">
        <v>64</v>
      </c>
      <c r="B29">
        <v>0.70299999999999996</v>
      </c>
      <c r="C29">
        <v>0.71199999999999997</v>
      </c>
      <c r="D29">
        <v>0.71299999999999997</v>
      </c>
      <c r="E29">
        <v>0.72099999999999997</v>
      </c>
      <c r="F29">
        <v>0.73</v>
      </c>
    </row>
    <row r="30" spans="1:6" x14ac:dyDescent="0.35">
      <c r="A30" t="s">
        <v>39</v>
      </c>
      <c r="B30">
        <v>0.72299999999999998</v>
      </c>
      <c r="C30">
        <v>0.72799999999999998</v>
      </c>
      <c r="D30">
        <v>0.73499999999999999</v>
      </c>
      <c r="E30">
        <v>0.747</v>
      </c>
      <c r="F30">
        <v>0.76</v>
      </c>
    </row>
    <row r="31" spans="1:6" x14ac:dyDescent="0.35">
      <c r="A31" t="s">
        <v>40</v>
      </c>
      <c r="B31">
        <v>0.76900000000000002</v>
      </c>
      <c r="C31">
        <v>0.77700000000000002</v>
      </c>
      <c r="D31">
        <v>0.78200000000000003</v>
      </c>
      <c r="E31">
        <v>0.79700000000000004</v>
      </c>
      <c r="F31">
        <v>0.80700000000000005</v>
      </c>
    </row>
    <row r="32" spans="1:6" x14ac:dyDescent="0.35">
      <c r="A32" t="s">
        <v>99</v>
      </c>
      <c r="B32">
        <v>0.65400000000000003</v>
      </c>
      <c r="C32">
        <v>0.66400000000000003</v>
      </c>
      <c r="D32">
        <v>0.67400000000000004</v>
      </c>
      <c r="E32">
        <v>0.68600000000000005</v>
      </c>
      <c r="F32">
        <v>0.69299999999999995</v>
      </c>
    </row>
    <row r="33" spans="1:6" x14ac:dyDescent="0.35">
      <c r="A33" t="s">
        <v>88</v>
      </c>
      <c r="B33">
        <v>0.78600000000000003</v>
      </c>
      <c r="C33">
        <v>0.79800000000000004</v>
      </c>
      <c r="D33">
        <v>0.79500000000000004</v>
      </c>
      <c r="E33">
        <v>0.79700000000000004</v>
      </c>
      <c r="F33">
        <v>0.81100000000000005</v>
      </c>
    </row>
    <row r="34" spans="1:6" x14ac:dyDescent="0.35">
      <c r="A34" t="s">
        <v>60</v>
      </c>
      <c r="B34">
        <v>0.68600000000000005</v>
      </c>
      <c r="C34">
        <v>0.69199999999999995</v>
      </c>
      <c r="D34">
        <v>0.69699999999999995</v>
      </c>
      <c r="E34">
        <v>0.70199999999999996</v>
      </c>
      <c r="F34">
        <v>0.72899999999999998</v>
      </c>
    </row>
    <row r="35" spans="1:6" x14ac:dyDescent="0.35">
      <c r="A35" t="s">
        <v>41</v>
      </c>
      <c r="B35">
        <v>0.72799999999999998</v>
      </c>
      <c r="C35">
        <v>0.73599999999999999</v>
      </c>
      <c r="D35">
        <v>0.745</v>
      </c>
      <c r="E35">
        <v>0.747</v>
      </c>
      <c r="F35">
        <v>0.76800000000000002</v>
      </c>
    </row>
    <row r="36" spans="1:6" x14ac:dyDescent="0.35">
      <c r="A36" t="s">
        <v>73</v>
      </c>
      <c r="B36">
        <v>0.70199999999999996</v>
      </c>
      <c r="C36">
        <v>0.71199999999999997</v>
      </c>
      <c r="D36">
        <v>0.70699999999999996</v>
      </c>
      <c r="E36">
        <v>0.71599999999999997</v>
      </c>
      <c r="F36">
        <v>0.73599999999999999</v>
      </c>
    </row>
    <row r="37" spans="1:6" x14ac:dyDescent="0.35">
      <c r="A37" t="s">
        <v>97</v>
      </c>
      <c r="B37">
        <v>0.65</v>
      </c>
      <c r="C37">
        <v>0.65600000000000003</v>
      </c>
      <c r="D37">
        <v>0.65800000000000003</v>
      </c>
      <c r="E37">
        <v>0.67400000000000004</v>
      </c>
      <c r="F37">
        <v>0.68300000000000005</v>
      </c>
    </row>
    <row r="38" spans="1:6" x14ac:dyDescent="0.35">
      <c r="A38" t="s">
        <v>77</v>
      </c>
      <c r="B38">
        <v>0.61</v>
      </c>
      <c r="C38">
        <v>0.624</v>
      </c>
      <c r="D38">
        <v>0.64</v>
      </c>
      <c r="E38">
        <v>0.64500000000000002</v>
      </c>
      <c r="F38">
        <v>0.65800000000000003</v>
      </c>
    </row>
    <row r="39" spans="1:6" x14ac:dyDescent="0.35">
      <c r="A39" t="s">
        <v>58</v>
      </c>
      <c r="B39">
        <v>0.57099999999999995</v>
      </c>
      <c r="C39">
        <v>0.57599999999999996</v>
      </c>
      <c r="D39">
        <v>0.58199999999999996</v>
      </c>
      <c r="E39">
        <v>0.6</v>
      </c>
      <c r="F39">
        <v>0.6</v>
      </c>
    </row>
    <row r="40" spans="1:6" x14ac:dyDescent="0.35">
      <c r="A40" t="s">
        <v>81</v>
      </c>
      <c r="B40">
        <v>0.68100000000000005</v>
      </c>
      <c r="C40">
        <v>0.69099999999999995</v>
      </c>
      <c r="D40">
        <v>0.69799999999999995</v>
      </c>
      <c r="E40">
        <v>0.70599999999999996</v>
      </c>
      <c r="F40">
        <v>0.71499999999999997</v>
      </c>
    </row>
    <row r="41" spans="1:6" x14ac:dyDescent="0.35">
      <c r="A41" t="s">
        <v>54</v>
      </c>
      <c r="B41">
        <v>0.66700000000000004</v>
      </c>
      <c r="C41">
        <v>0.66800000000000004</v>
      </c>
      <c r="D41">
        <v>0.67400000000000004</v>
      </c>
      <c r="E41">
        <v>0.67800000000000005</v>
      </c>
      <c r="F41">
        <v>0.69199999999999995</v>
      </c>
    </row>
    <row r="42" spans="1:6" x14ac:dyDescent="0.35">
      <c r="A42" t="s">
        <v>51</v>
      </c>
      <c r="B42">
        <v>0.64300000000000002</v>
      </c>
      <c r="C42">
        <v>0.65700000000000003</v>
      </c>
      <c r="D42">
        <v>0.66300000000000003</v>
      </c>
      <c r="E42">
        <v>0.67400000000000004</v>
      </c>
      <c r="F42">
        <v>0.68700000000000006</v>
      </c>
    </row>
    <row r="43" spans="1:6" x14ac:dyDescent="0.35">
      <c r="A43" t="s">
        <v>90</v>
      </c>
      <c r="B43">
        <v>0.69099999999999995</v>
      </c>
      <c r="C43">
        <v>0.69799999999999995</v>
      </c>
      <c r="D43">
        <v>0.70199999999999996</v>
      </c>
      <c r="E43">
        <v>0.70899999999999996</v>
      </c>
      <c r="F43">
        <v>0.72</v>
      </c>
    </row>
    <row r="44" spans="1:6" x14ac:dyDescent="0.35">
      <c r="A44" t="s">
        <v>44</v>
      </c>
      <c r="B44">
        <v>0.67800000000000005</v>
      </c>
      <c r="C44">
        <v>0.68700000000000006</v>
      </c>
      <c r="D44">
        <v>0.69099999999999995</v>
      </c>
      <c r="E44">
        <v>0.69899999999999995</v>
      </c>
      <c r="F44">
        <v>0.70799999999999996</v>
      </c>
    </row>
    <row r="45" spans="1:6" x14ac:dyDescent="0.35">
      <c r="A45" t="s">
        <v>63</v>
      </c>
      <c r="B45">
        <v>0.68300000000000005</v>
      </c>
      <c r="C45">
        <v>0.68600000000000005</v>
      </c>
      <c r="D45">
        <v>0.69599999999999995</v>
      </c>
      <c r="E45">
        <v>0.7</v>
      </c>
      <c r="F45">
        <v>0.71099999999999997</v>
      </c>
    </row>
    <row r="46" spans="1:6" x14ac:dyDescent="0.35">
      <c r="A46" t="s">
        <v>74</v>
      </c>
      <c r="B46">
        <v>0.63700000000000001</v>
      </c>
      <c r="C46">
        <v>0.65200000000000002</v>
      </c>
      <c r="D46">
        <v>0.65400000000000003</v>
      </c>
      <c r="E46">
        <v>0.67100000000000004</v>
      </c>
      <c r="F46">
        <v>0.68300000000000005</v>
      </c>
    </row>
    <row r="47" spans="1:6" x14ac:dyDescent="0.35">
      <c r="A47" t="s">
        <v>45</v>
      </c>
      <c r="B47">
        <v>0.70599999999999996</v>
      </c>
      <c r="C47">
        <v>0.71899999999999997</v>
      </c>
      <c r="D47">
        <v>0.72699999999999998</v>
      </c>
      <c r="E47">
        <v>0.73</v>
      </c>
      <c r="F47">
        <v>0.746</v>
      </c>
    </row>
    <row r="48" spans="1:6" x14ac:dyDescent="0.35">
      <c r="A48" t="s">
        <v>56</v>
      </c>
      <c r="B48">
        <v>0.69099999999999995</v>
      </c>
      <c r="C48">
        <v>0.69699999999999995</v>
      </c>
      <c r="D48">
        <v>0.70299999999999996</v>
      </c>
      <c r="E48">
        <v>0.71</v>
      </c>
      <c r="F48">
        <v>0.72399999999999998</v>
      </c>
    </row>
    <row r="49" spans="1:6" x14ac:dyDescent="0.35">
      <c r="A49" t="s">
        <v>72</v>
      </c>
      <c r="B49">
        <v>0.66600000000000004</v>
      </c>
      <c r="C49">
        <v>0.67600000000000005</v>
      </c>
      <c r="D49">
        <v>0.68300000000000005</v>
      </c>
      <c r="E49">
        <v>0.69299999999999995</v>
      </c>
      <c r="F49">
        <v>0.69899999999999995</v>
      </c>
    </row>
    <row r="50" spans="1:6" x14ac:dyDescent="0.35">
      <c r="A50" t="s">
        <v>69</v>
      </c>
      <c r="B50">
        <v>0.69599999999999995</v>
      </c>
      <c r="C50">
        <v>0.70199999999999996</v>
      </c>
      <c r="D50">
        <v>0.70299999999999996</v>
      </c>
      <c r="E50">
        <v>0.71</v>
      </c>
      <c r="F50">
        <v>0.72799999999999998</v>
      </c>
    </row>
    <row r="51" spans="1:6" x14ac:dyDescent="0.35">
      <c r="A51" t="s">
        <v>70</v>
      </c>
      <c r="B51">
        <v>0.69299999999999995</v>
      </c>
      <c r="C51">
        <v>0.69599999999999995</v>
      </c>
      <c r="D51">
        <v>0.69399999999999995</v>
      </c>
      <c r="E51">
        <v>0.71299999999999997</v>
      </c>
      <c r="F51">
        <v>0.72399999999999998</v>
      </c>
    </row>
    <row r="52" spans="1:6" x14ac:dyDescent="0.35">
      <c r="A52" t="s">
        <v>65</v>
      </c>
      <c r="B52">
        <v>0.67600000000000005</v>
      </c>
      <c r="C52">
        <v>0.68100000000000005</v>
      </c>
      <c r="D52">
        <v>0.69</v>
      </c>
      <c r="E52">
        <v>0.69399999999999995</v>
      </c>
      <c r="F52">
        <v>0.70399999999999996</v>
      </c>
    </row>
    <row r="53" spans="1:6" x14ac:dyDescent="0.35">
      <c r="A53" t="s">
        <v>38</v>
      </c>
      <c r="B53">
        <v>0.75700000000000001</v>
      </c>
      <c r="C53">
        <v>0.76900000000000002</v>
      </c>
      <c r="D53">
        <v>0.76900000000000002</v>
      </c>
      <c r="E53">
        <v>0.77800000000000002</v>
      </c>
      <c r="F53">
        <v>0.78400000000000003</v>
      </c>
    </row>
    <row r="54" spans="1:6" x14ac:dyDescent="0.35">
      <c r="A54" t="s">
        <v>66</v>
      </c>
      <c r="B54">
        <v>0.65900000000000003</v>
      </c>
      <c r="C54">
        <v>0.66400000000000003</v>
      </c>
      <c r="D54">
        <v>0.67100000000000004</v>
      </c>
      <c r="E54">
        <v>0.68200000000000005</v>
      </c>
      <c r="F54">
        <v>0.69399999999999995</v>
      </c>
    </row>
    <row r="55" spans="1:6" x14ac:dyDescent="0.35">
      <c r="A55" t="s">
        <v>100</v>
      </c>
      <c r="B55">
        <v>0.63800000000000001</v>
      </c>
      <c r="C55">
        <v>0.64</v>
      </c>
      <c r="D55">
        <v>0.64700000000000002</v>
      </c>
      <c r="E55">
        <v>0.65500000000000003</v>
      </c>
      <c r="F55">
        <v>0.66800000000000004</v>
      </c>
    </row>
    <row r="56" spans="1:6" x14ac:dyDescent="0.35">
      <c r="A56" t="s">
        <v>59</v>
      </c>
      <c r="B56">
        <v>0.61599999999999999</v>
      </c>
      <c r="C56">
        <v>0.622</v>
      </c>
      <c r="D56">
        <v>0.63300000000000001</v>
      </c>
      <c r="E56">
        <v>0.63600000000000001</v>
      </c>
      <c r="F56">
        <v>0.64600000000000002</v>
      </c>
    </row>
    <row r="57" spans="1:6" x14ac:dyDescent="0.35">
      <c r="A57" t="s">
        <v>84</v>
      </c>
      <c r="B57">
        <v>0.66800000000000004</v>
      </c>
      <c r="C57">
        <v>0.68100000000000005</v>
      </c>
      <c r="D57">
        <v>0.68500000000000005</v>
      </c>
      <c r="E57">
        <v>0.69099999999999995</v>
      </c>
      <c r="F57">
        <v>0.70299999999999996</v>
      </c>
    </row>
    <row r="58" spans="1:6" x14ac:dyDescent="0.35">
      <c r="A58" t="s">
        <v>105</v>
      </c>
      <c r="B58">
        <v>0.745</v>
      </c>
      <c r="C58">
        <v>0.748</v>
      </c>
      <c r="D58">
        <v>0.74299999999999999</v>
      </c>
      <c r="E58">
        <v>0.75700000000000001</v>
      </c>
      <c r="F58">
        <v>0.77</v>
      </c>
    </row>
    <row r="59" spans="1:6" x14ac:dyDescent="0.35">
      <c r="A59" t="s">
        <v>42</v>
      </c>
      <c r="B59">
        <v>0.69399999999999995</v>
      </c>
      <c r="C59">
        <v>0.70599999999999996</v>
      </c>
      <c r="D59">
        <v>0.71099999999999997</v>
      </c>
      <c r="E59">
        <v>0.72199999999999998</v>
      </c>
      <c r="F59">
        <v>0.73699999999999999</v>
      </c>
    </row>
    <row r="60" spans="1:6" x14ac:dyDescent="0.35">
      <c r="A60" t="s">
        <v>62</v>
      </c>
      <c r="B60">
        <v>0.67900000000000005</v>
      </c>
      <c r="C60">
        <v>0.68899999999999995</v>
      </c>
      <c r="D60">
        <v>0.69699999999999995</v>
      </c>
      <c r="E60">
        <v>0.70899999999999996</v>
      </c>
      <c r="F60">
        <v>0.72599999999999998</v>
      </c>
    </row>
    <row r="61" spans="1:6" x14ac:dyDescent="0.35">
      <c r="A61" t="s">
        <v>67</v>
      </c>
      <c r="B61">
        <v>0.66400000000000003</v>
      </c>
      <c r="C61">
        <v>0.68500000000000005</v>
      </c>
      <c r="D61">
        <v>0.68100000000000005</v>
      </c>
      <c r="E61">
        <v>0.69699999999999995</v>
      </c>
      <c r="F61">
        <v>0.70399999999999996</v>
      </c>
    </row>
    <row r="62" spans="1:6" x14ac:dyDescent="0.35">
      <c r="A62" t="s">
        <v>91</v>
      </c>
      <c r="B62">
        <v>0.67300000000000004</v>
      </c>
      <c r="C62">
        <v>0.67800000000000005</v>
      </c>
      <c r="D62">
        <v>0.67900000000000005</v>
      </c>
      <c r="E62">
        <v>0.68700000000000006</v>
      </c>
      <c r="F62">
        <v>0.69799999999999995</v>
      </c>
    </row>
    <row r="63" spans="1:6" x14ac:dyDescent="0.35">
      <c r="A63" t="s">
        <v>93</v>
      </c>
      <c r="B63">
        <v>0.65800000000000003</v>
      </c>
      <c r="C63">
        <v>0.66900000000000004</v>
      </c>
      <c r="D63">
        <v>0.67300000000000004</v>
      </c>
      <c r="E63">
        <v>0.68100000000000005</v>
      </c>
      <c r="F63">
        <v>0.69299999999999995</v>
      </c>
    </row>
    <row r="64" spans="1:6" x14ac:dyDescent="0.35">
      <c r="A64" t="s">
        <v>50</v>
      </c>
      <c r="B64">
        <v>0.66</v>
      </c>
      <c r="C64">
        <v>0.66600000000000004</v>
      </c>
      <c r="D64">
        <v>0.67300000000000004</v>
      </c>
      <c r="E64">
        <v>0.67700000000000005</v>
      </c>
      <c r="F64">
        <v>0.69599999999999995</v>
      </c>
    </row>
    <row r="65" spans="1:6" x14ac:dyDescent="0.35">
      <c r="A65" t="s">
        <v>94</v>
      </c>
      <c r="B65">
        <v>0.68500000000000005</v>
      </c>
      <c r="C65">
        <v>0.69399999999999995</v>
      </c>
      <c r="D65">
        <v>0.69899999999999995</v>
      </c>
      <c r="E65">
        <v>0.70199999999999996</v>
      </c>
      <c r="F65">
        <v>0.71299999999999997</v>
      </c>
    </row>
    <row r="66" spans="1:6" x14ac:dyDescent="0.35">
      <c r="A66" t="s">
        <v>36</v>
      </c>
      <c r="B66">
        <v>0.73599999999999999</v>
      </c>
      <c r="C66">
        <v>0.749</v>
      </c>
      <c r="D66">
        <v>0.751</v>
      </c>
      <c r="E66">
        <v>0.76500000000000001</v>
      </c>
      <c r="F66">
        <v>0.77800000000000002</v>
      </c>
    </row>
    <row r="67" spans="1:6" x14ac:dyDescent="0.35">
      <c r="A67" t="s">
        <v>52</v>
      </c>
      <c r="B67">
        <v>0.63200000000000001</v>
      </c>
      <c r="C67">
        <v>0.63700000000000001</v>
      </c>
      <c r="D67">
        <v>0.64900000000000002</v>
      </c>
      <c r="E67">
        <v>0.65200000000000002</v>
      </c>
      <c r="F67">
        <v>0.65900000000000003</v>
      </c>
    </row>
  </sheetData>
  <sortState xmlns:xlrd2="http://schemas.microsoft.com/office/spreadsheetml/2017/richdata2" ref="A4:F67">
    <sortCondition ref="A3:A67"/>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C34F-05BF-4591-B11C-32334CC5DA89}">
  <dimension ref="A1:F73"/>
  <sheetViews>
    <sheetView workbookViewId="0">
      <selection activeCell="F4" sqref="F4"/>
    </sheetView>
  </sheetViews>
  <sheetFormatPr defaultRowHeight="14.5" x14ac:dyDescent="0.35"/>
  <sheetData>
    <row r="1" spans="1:6" x14ac:dyDescent="0.35">
      <c r="A1" t="s">
        <v>107</v>
      </c>
    </row>
    <row r="3" spans="1:6" x14ac:dyDescent="0.35">
      <c r="A3" t="s">
        <v>32</v>
      </c>
      <c r="B3">
        <v>2018</v>
      </c>
      <c r="C3">
        <v>2019</v>
      </c>
      <c r="D3">
        <v>2020</v>
      </c>
      <c r="E3">
        <v>2021</v>
      </c>
      <c r="F3">
        <v>2022</v>
      </c>
    </row>
    <row r="4" spans="1:6" x14ac:dyDescent="0.35">
      <c r="A4" t="s">
        <v>33</v>
      </c>
      <c r="B4">
        <v>0.42499999999999999</v>
      </c>
      <c r="C4">
        <v>0.42299999999999999</v>
      </c>
      <c r="D4">
        <v>0.373</v>
      </c>
      <c r="E4">
        <v>0.374</v>
      </c>
      <c r="F4">
        <f>E4-B4</f>
        <v>-5.099999999999999E-2</v>
      </c>
    </row>
    <row r="5" spans="1:6" x14ac:dyDescent="0.35">
      <c r="A5" t="s">
        <v>48</v>
      </c>
      <c r="B5">
        <v>0.48699999999999999</v>
      </c>
      <c r="C5">
        <v>0.48799999999999999</v>
      </c>
      <c r="D5">
        <v>0.501</v>
      </c>
      <c r="E5">
        <v>0.52500000000000002</v>
      </c>
      <c r="F5">
        <f t="shared" ref="F5:F68" si="0">E5-B5</f>
        <v>3.8000000000000034E-2</v>
      </c>
    </row>
    <row r="6" spans="1:6" x14ac:dyDescent="0.35">
      <c r="A6" t="s">
        <v>57</v>
      </c>
      <c r="B6">
        <v>0.47</v>
      </c>
      <c r="C6">
        <v>0.45700000000000002</v>
      </c>
      <c r="D6">
        <v>0.45200000000000001</v>
      </c>
      <c r="E6">
        <v>0.501</v>
      </c>
      <c r="F6">
        <f t="shared" si="0"/>
        <v>3.1000000000000028E-2</v>
      </c>
    </row>
    <row r="7" spans="1:6" x14ac:dyDescent="0.35">
      <c r="A7" t="s">
        <v>58</v>
      </c>
      <c r="B7">
        <v>0.432</v>
      </c>
      <c r="C7">
        <v>0.433</v>
      </c>
      <c r="D7">
        <v>0.45500000000000002</v>
      </c>
      <c r="E7">
        <v>0.496</v>
      </c>
      <c r="F7">
        <f t="shared" si="0"/>
        <v>6.4000000000000001E-2</v>
      </c>
    </row>
    <row r="8" spans="1:6" x14ac:dyDescent="0.35">
      <c r="A8" t="s">
        <v>59</v>
      </c>
      <c r="B8">
        <v>0.44</v>
      </c>
      <c r="C8">
        <v>0.45100000000000001</v>
      </c>
      <c r="D8">
        <v>0.46899999999999997</v>
      </c>
      <c r="E8">
        <v>0.47399999999999998</v>
      </c>
      <c r="F8">
        <f t="shared" si="0"/>
        <v>3.3999999999999975E-2</v>
      </c>
    </row>
    <row r="9" spans="1:6" x14ac:dyDescent="0.35">
      <c r="A9" t="s">
        <v>47</v>
      </c>
      <c r="B9">
        <v>0.44</v>
      </c>
      <c r="C9">
        <v>0.441</v>
      </c>
      <c r="D9">
        <v>0.42799999999999999</v>
      </c>
      <c r="E9">
        <v>0.46500000000000002</v>
      </c>
      <c r="F9">
        <f t="shared" si="0"/>
        <v>2.5000000000000022E-2</v>
      </c>
    </row>
    <row r="10" spans="1:6" x14ac:dyDescent="0.35">
      <c r="A10" t="s">
        <v>78</v>
      </c>
      <c r="B10">
        <v>0.44600000000000001</v>
      </c>
      <c r="C10">
        <v>0.46500000000000002</v>
      </c>
      <c r="D10">
        <v>0.42599999999999999</v>
      </c>
      <c r="E10">
        <v>0.45500000000000002</v>
      </c>
      <c r="F10">
        <f t="shared" si="0"/>
        <v>9.000000000000008E-3</v>
      </c>
    </row>
    <row r="11" spans="1:6" x14ac:dyDescent="0.35">
      <c r="A11" t="s">
        <v>49</v>
      </c>
      <c r="B11">
        <v>0.432</v>
      </c>
      <c r="C11">
        <v>0.46</v>
      </c>
      <c r="D11">
        <v>0.42499999999999999</v>
      </c>
      <c r="E11">
        <v>0.45300000000000001</v>
      </c>
      <c r="F11">
        <f t="shared" si="0"/>
        <v>2.1000000000000019E-2</v>
      </c>
    </row>
    <row r="12" spans="1:6" x14ac:dyDescent="0.35">
      <c r="A12" t="s">
        <v>51</v>
      </c>
      <c r="B12">
        <v>0.436</v>
      </c>
      <c r="C12">
        <v>0.41599999999999998</v>
      </c>
      <c r="D12">
        <v>0.44900000000000001</v>
      </c>
      <c r="E12">
        <v>0.44600000000000001</v>
      </c>
      <c r="F12">
        <f t="shared" si="0"/>
        <v>1.0000000000000009E-2</v>
      </c>
    </row>
    <row r="13" spans="1:6" x14ac:dyDescent="0.35">
      <c r="A13" t="s">
        <v>93</v>
      </c>
      <c r="B13">
        <v>0.41299999999999998</v>
      </c>
      <c r="C13">
        <v>0.35199999999999998</v>
      </c>
      <c r="D13">
        <v>0.41699999999999998</v>
      </c>
      <c r="E13">
        <v>0.432</v>
      </c>
      <c r="F13">
        <f t="shared" si="0"/>
        <v>1.9000000000000017E-2</v>
      </c>
    </row>
    <row r="14" spans="1:6" x14ac:dyDescent="0.35">
      <c r="A14" t="s">
        <v>46</v>
      </c>
      <c r="B14">
        <v>0.44400000000000001</v>
      </c>
      <c r="C14">
        <v>0.438</v>
      </c>
      <c r="D14">
        <v>0.42</v>
      </c>
      <c r="E14">
        <v>0.42799999999999999</v>
      </c>
      <c r="F14">
        <f t="shared" si="0"/>
        <v>-1.6000000000000014E-2</v>
      </c>
    </row>
    <row r="15" spans="1:6" x14ac:dyDescent="0.35">
      <c r="A15" t="s">
        <v>76</v>
      </c>
      <c r="B15">
        <v>0.44</v>
      </c>
      <c r="C15">
        <v>0.443</v>
      </c>
      <c r="D15">
        <v>0.40600000000000003</v>
      </c>
      <c r="E15">
        <v>0.41799999999999998</v>
      </c>
      <c r="F15">
        <f t="shared" si="0"/>
        <v>-2.200000000000002E-2</v>
      </c>
    </row>
    <row r="16" spans="1:6" x14ac:dyDescent="0.35">
      <c r="A16" t="s">
        <v>80</v>
      </c>
      <c r="B16">
        <v>0.441</v>
      </c>
      <c r="C16">
        <v>0.38200000000000001</v>
      </c>
      <c r="D16">
        <v>0.38800000000000001</v>
      </c>
      <c r="E16">
        <v>0.41399999999999998</v>
      </c>
      <c r="F16">
        <f t="shared" si="0"/>
        <v>-2.7000000000000024E-2</v>
      </c>
    </row>
    <row r="17" spans="1:6" x14ac:dyDescent="0.35">
      <c r="A17" t="s">
        <v>66</v>
      </c>
      <c r="B17">
        <v>0.379</v>
      </c>
      <c r="C17">
        <v>0.38400000000000001</v>
      </c>
      <c r="D17">
        <v>0.42499999999999999</v>
      </c>
      <c r="E17">
        <v>0.41199999999999998</v>
      </c>
      <c r="F17">
        <f t="shared" si="0"/>
        <v>3.2999999999999974E-2</v>
      </c>
    </row>
    <row r="18" spans="1:6" x14ac:dyDescent="0.35">
      <c r="A18" t="s">
        <v>97</v>
      </c>
      <c r="B18">
        <v>0.40300000000000002</v>
      </c>
      <c r="C18">
        <v>0.39200000000000002</v>
      </c>
      <c r="D18">
        <v>0.42199999999999999</v>
      </c>
      <c r="E18">
        <v>0.41</v>
      </c>
      <c r="F18">
        <f t="shared" si="0"/>
        <v>6.9999999999999507E-3</v>
      </c>
    </row>
    <row r="19" spans="1:6" x14ac:dyDescent="0.35">
      <c r="A19" t="s">
        <v>72</v>
      </c>
      <c r="B19">
        <v>0.372</v>
      </c>
      <c r="C19">
        <v>0.379</v>
      </c>
      <c r="D19">
        <v>0.372</v>
      </c>
      <c r="E19">
        <v>0.40899999999999997</v>
      </c>
      <c r="F19">
        <f t="shared" si="0"/>
        <v>3.6999999999999977E-2</v>
      </c>
    </row>
    <row r="20" spans="1:6" x14ac:dyDescent="0.35">
      <c r="A20" t="s">
        <v>52</v>
      </c>
      <c r="B20">
        <v>0.433</v>
      </c>
      <c r="C20">
        <v>0.45400000000000001</v>
      </c>
      <c r="D20">
        <v>0.46800000000000003</v>
      </c>
      <c r="E20">
        <v>0.40799999999999997</v>
      </c>
      <c r="F20">
        <f t="shared" si="0"/>
        <v>-2.5000000000000022E-2</v>
      </c>
    </row>
    <row r="21" spans="1:6" x14ac:dyDescent="0.35">
      <c r="A21" t="s">
        <v>79</v>
      </c>
      <c r="B21">
        <v>0.42099999999999999</v>
      </c>
      <c r="C21">
        <v>0.39700000000000002</v>
      </c>
      <c r="D21">
        <v>0.41</v>
      </c>
      <c r="E21">
        <v>0.40500000000000003</v>
      </c>
      <c r="F21">
        <f t="shared" si="0"/>
        <v>-1.5999999999999959E-2</v>
      </c>
    </row>
    <row r="22" spans="1:6" x14ac:dyDescent="0.35">
      <c r="A22" t="s">
        <v>54</v>
      </c>
      <c r="B22">
        <v>0.38</v>
      </c>
      <c r="C22">
        <v>0.36899999999999999</v>
      </c>
      <c r="D22">
        <v>0.38200000000000001</v>
      </c>
      <c r="E22">
        <v>0.40100000000000002</v>
      </c>
      <c r="F22">
        <f t="shared" si="0"/>
        <v>2.1000000000000019E-2</v>
      </c>
    </row>
    <row r="23" spans="1:6" x14ac:dyDescent="0.35">
      <c r="A23" t="s">
        <v>102</v>
      </c>
      <c r="B23">
        <v>0.38400000000000001</v>
      </c>
      <c r="C23">
        <v>0.35499999999999998</v>
      </c>
      <c r="D23">
        <v>0.39700000000000002</v>
      </c>
      <c r="E23">
        <v>0.39700000000000002</v>
      </c>
      <c r="F23">
        <f t="shared" si="0"/>
        <v>1.3000000000000012E-2</v>
      </c>
    </row>
    <row r="24" spans="1:6" x14ac:dyDescent="0.35">
      <c r="A24" t="s">
        <v>87</v>
      </c>
      <c r="B24">
        <v>0.439</v>
      </c>
      <c r="C24">
        <v>0.39900000000000002</v>
      </c>
      <c r="D24">
        <v>0.38700000000000001</v>
      </c>
      <c r="E24">
        <v>0.38800000000000001</v>
      </c>
      <c r="F24">
        <f t="shared" si="0"/>
        <v>-5.099999999999999E-2</v>
      </c>
    </row>
    <row r="25" spans="1:6" x14ac:dyDescent="0.35">
      <c r="A25" t="s">
        <v>74</v>
      </c>
      <c r="B25">
        <v>0.41699999999999998</v>
      </c>
      <c r="C25">
        <v>0.33400000000000002</v>
      </c>
      <c r="D25">
        <v>0.379</v>
      </c>
      <c r="E25">
        <v>0.38300000000000001</v>
      </c>
      <c r="F25">
        <f t="shared" si="0"/>
        <v>-3.3999999999999975E-2</v>
      </c>
    </row>
    <row r="26" spans="1:6" x14ac:dyDescent="0.35">
      <c r="A26" t="s">
        <v>81</v>
      </c>
      <c r="B26">
        <v>0.41699999999999998</v>
      </c>
      <c r="C26">
        <v>0.35299999999999998</v>
      </c>
      <c r="D26">
        <v>0.35399999999999998</v>
      </c>
      <c r="E26">
        <v>0.378</v>
      </c>
      <c r="F26">
        <f t="shared" si="0"/>
        <v>-3.8999999999999979E-2</v>
      </c>
    </row>
    <row r="27" spans="1:6" x14ac:dyDescent="0.35">
      <c r="A27" t="s">
        <v>71</v>
      </c>
      <c r="B27">
        <v>0.35699999999999998</v>
      </c>
      <c r="C27">
        <v>0.34399999999999997</v>
      </c>
      <c r="D27">
        <v>0.36399999999999999</v>
      </c>
      <c r="E27">
        <v>0.375</v>
      </c>
      <c r="F27">
        <f t="shared" si="0"/>
        <v>1.8000000000000016E-2</v>
      </c>
    </row>
    <row r="28" spans="1:6" x14ac:dyDescent="0.35">
      <c r="A28" t="s">
        <v>92</v>
      </c>
      <c r="B28">
        <v>0.40600000000000003</v>
      </c>
      <c r="C28">
        <v>0.36699999999999999</v>
      </c>
      <c r="D28">
        <v>0.38900000000000001</v>
      </c>
      <c r="E28">
        <v>0.375</v>
      </c>
      <c r="F28">
        <f t="shared" si="0"/>
        <v>-3.1000000000000028E-2</v>
      </c>
    </row>
    <row r="29" spans="1:6" x14ac:dyDescent="0.35">
      <c r="A29" t="s">
        <v>73</v>
      </c>
      <c r="B29">
        <v>0.35499999999999998</v>
      </c>
      <c r="C29">
        <v>0.32400000000000001</v>
      </c>
      <c r="D29">
        <v>0.33100000000000002</v>
      </c>
      <c r="E29">
        <v>0.374</v>
      </c>
      <c r="F29">
        <f t="shared" si="0"/>
        <v>1.9000000000000017E-2</v>
      </c>
    </row>
    <row r="30" spans="1:6" x14ac:dyDescent="0.35">
      <c r="A30" t="s">
        <v>67</v>
      </c>
      <c r="B30">
        <v>0.36</v>
      </c>
      <c r="C30">
        <v>0.29599999999999999</v>
      </c>
      <c r="D30">
        <v>0.32</v>
      </c>
      <c r="E30">
        <v>0.372</v>
      </c>
      <c r="F30">
        <f t="shared" si="0"/>
        <v>1.2000000000000011E-2</v>
      </c>
    </row>
    <row r="31" spans="1:6" x14ac:dyDescent="0.35">
      <c r="A31" t="s">
        <v>64</v>
      </c>
      <c r="B31">
        <v>0.38900000000000001</v>
      </c>
      <c r="C31">
        <v>0.33200000000000002</v>
      </c>
      <c r="D31">
        <v>0.39100000000000001</v>
      </c>
      <c r="E31">
        <v>0.36699999999999999</v>
      </c>
      <c r="F31">
        <f t="shared" si="0"/>
        <v>-2.200000000000002E-2</v>
      </c>
    </row>
    <row r="32" spans="1:6" x14ac:dyDescent="0.35">
      <c r="A32" t="s">
        <v>56</v>
      </c>
      <c r="B32">
        <v>0.372</v>
      </c>
      <c r="C32">
        <v>0.311</v>
      </c>
      <c r="D32">
        <v>0.33100000000000002</v>
      </c>
      <c r="E32">
        <v>0.36599999999999999</v>
      </c>
      <c r="F32">
        <f t="shared" si="0"/>
        <v>-6.0000000000000053E-3</v>
      </c>
    </row>
    <row r="33" spans="1:6" x14ac:dyDescent="0.35">
      <c r="A33" t="s">
        <v>65</v>
      </c>
      <c r="B33">
        <v>0.40400000000000003</v>
      </c>
      <c r="C33">
        <v>0.40200000000000002</v>
      </c>
      <c r="D33">
        <v>0.40899999999999997</v>
      </c>
      <c r="E33">
        <v>0.36499999999999999</v>
      </c>
      <c r="F33">
        <f t="shared" si="0"/>
        <v>-3.9000000000000035E-2</v>
      </c>
    </row>
    <row r="34" spans="1:6" x14ac:dyDescent="0.35">
      <c r="A34" t="s">
        <v>70</v>
      </c>
      <c r="B34">
        <v>0.36799999999999999</v>
      </c>
      <c r="C34">
        <v>0.34899999999999998</v>
      </c>
      <c r="D34">
        <v>0.38500000000000001</v>
      </c>
      <c r="E34">
        <v>0.36299999999999999</v>
      </c>
      <c r="F34">
        <f t="shared" si="0"/>
        <v>-5.0000000000000044E-3</v>
      </c>
    </row>
    <row r="35" spans="1:6" x14ac:dyDescent="0.35">
      <c r="A35" t="s">
        <v>63</v>
      </c>
      <c r="B35">
        <v>0.40400000000000003</v>
      </c>
      <c r="C35">
        <v>0.36699999999999999</v>
      </c>
      <c r="D35">
        <v>0.34799999999999998</v>
      </c>
      <c r="E35">
        <v>0.36199999999999999</v>
      </c>
      <c r="F35">
        <f t="shared" si="0"/>
        <v>-4.2000000000000037E-2</v>
      </c>
    </row>
    <row r="36" spans="1:6" x14ac:dyDescent="0.35">
      <c r="A36" t="s">
        <v>60</v>
      </c>
      <c r="B36">
        <v>0.38500000000000001</v>
      </c>
      <c r="C36">
        <v>0.35499999999999998</v>
      </c>
      <c r="D36">
        <v>0.39200000000000002</v>
      </c>
      <c r="E36">
        <v>0.36</v>
      </c>
      <c r="F36">
        <f t="shared" si="0"/>
        <v>-2.5000000000000022E-2</v>
      </c>
    </row>
    <row r="37" spans="1:6" x14ac:dyDescent="0.35">
      <c r="A37" t="s">
        <v>35</v>
      </c>
      <c r="B37">
        <v>0.38700000000000001</v>
      </c>
      <c r="C37">
        <v>0.30499999999999999</v>
      </c>
      <c r="D37">
        <v>0.34100000000000003</v>
      </c>
      <c r="E37">
        <v>0.35899999999999999</v>
      </c>
      <c r="F37">
        <f t="shared" si="0"/>
        <v>-2.8000000000000025E-2</v>
      </c>
    </row>
    <row r="38" spans="1:6" x14ac:dyDescent="0.35">
      <c r="A38" t="s">
        <v>96</v>
      </c>
      <c r="B38">
        <v>0.39100000000000001</v>
      </c>
      <c r="C38">
        <v>0.33600000000000002</v>
      </c>
      <c r="D38">
        <v>0.32300000000000001</v>
      </c>
      <c r="E38">
        <v>0.35599999999999998</v>
      </c>
      <c r="F38">
        <f t="shared" si="0"/>
        <v>-3.5000000000000031E-2</v>
      </c>
    </row>
    <row r="39" spans="1:6" x14ac:dyDescent="0.35">
      <c r="A39" t="s">
        <v>89</v>
      </c>
      <c r="B39">
        <v>0.4</v>
      </c>
      <c r="C39">
        <v>0.39500000000000002</v>
      </c>
      <c r="D39">
        <v>0.372</v>
      </c>
      <c r="E39">
        <v>0.35199999999999998</v>
      </c>
      <c r="F39">
        <f t="shared" si="0"/>
        <v>-4.8000000000000043E-2</v>
      </c>
    </row>
    <row r="40" spans="1:6" x14ac:dyDescent="0.35">
      <c r="A40" t="s">
        <v>94</v>
      </c>
      <c r="B40">
        <v>0.379</v>
      </c>
      <c r="C40">
        <v>0.35199999999999998</v>
      </c>
      <c r="D40">
        <v>0.36499999999999999</v>
      </c>
      <c r="E40">
        <v>0.35199999999999998</v>
      </c>
      <c r="F40">
        <f t="shared" si="0"/>
        <v>-2.7000000000000024E-2</v>
      </c>
    </row>
    <row r="41" spans="1:6" x14ac:dyDescent="0.35">
      <c r="A41" t="s">
        <v>53</v>
      </c>
      <c r="B41">
        <v>0.39500000000000002</v>
      </c>
      <c r="C41">
        <v>0.29399999999999998</v>
      </c>
      <c r="D41">
        <v>0.33</v>
      </c>
      <c r="E41">
        <v>0.34899999999999998</v>
      </c>
      <c r="F41">
        <f t="shared" si="0"/>
        <v>-4.6000000000000041E-2</v>
      </c>
    </row>
    <row r="42" spans="1:6" x14ac:dyDescent="0.35">
      <c r="A42" t="s">
        <v>50</v>
      </c>
      <c r="B42">
        <v>0.36699999999999999</v>
      </c>
      <c r="C42">
        <v>0.32</v>
      </c>
      <c r="D42">
        <v>0.371</v>
      </c>
      <c r="E42">
        <v>0.34799999999999998</v>
      </c>
      <c r="F42">
        <f t="shared" si="0"/>
        <v>-1.9000000000000017E-2</v>
      </c>
    </row>
    <row r="43" spans="1:6" x14ac:dyDescent="0.35">
      <c r="A43" t="s">
        <v>61</v>
      </c>
      <c r="B43">
        <v>0.38300000000000001</v>
      </c>
      <c r="C43">
        <v>0.38900000000000001</v>
      </c>
      <c r="D43">
        <v>0.35399999999999998</v>
      </c>
      <c r="E43">
        <v>0.34699999999999998</v>
      </c>
      <c r="F43">
        <f t="shared" si="0"/>
        <v>-3.6000000000000032E-2</v>
      </c>
    </row>
    <row r="44" spans="1:6" x14ac:dyDescent="0.35">
      <c r="A44" t="s">
        <v>98</v>
      </c>
      <c r="B44">
        <v>0.39100000000000001</v>
      </c>
      <c r="C44">
        <v>0.34799999999999998</v>
      </c>
      <c r="D44">
        <v>0.438</v>
      </c>
      <c r="E44">
        <v>0.34499999999999997</v>
      </c>
      <c r="F44">
        <f t="shared" si="0"/>
        <v>-4.6000000000000041E-2</v>
      </c>
    </row>
    <row r="45" spans="1:6" x14ac:dyDescent="0.35">
      <c r="A45" t="s">
        <v>99</v>
      </c>
      <c r="B45">
        <v>0.38900000000000001</v>
      </c>
      <c r="C45">
        <v>0.377</v>
      </c>
      <c r="D45">
        <v>0.35899999999999999</v>
      </c>
      <c r="E45">
        <v>0.34</v>
      </c>
      <c r="F45">
        <f t="shared" si="0"/>
        <v>-4.8999999999999988E-2</v>
      </c>
    </row>
    <row r="46" spans="1:6" x14ac:dyDescent="0.35">
      <c r="A46" t="s">
        <v>77</v>
      </c>
      <c r="B46">
        <v>0.438</v>
      </c>
      <c r="C46">
        <v>0.42799999999999999</v>
      </c>
      <c r="D46">
        <v>0.372</v>
      </c>
      <c r="E46">
        <v>0.33600000000000002</v>
      </c>
      <c r="F46">
        <f t="shared" si="0"/>
        <v>-0.10199999999999998</v>
      </c>
    </row>
    <row r="47" spans="1:6" x14ac:dyDescent="0.35">
      <c r="A47" t="s">
        <v>86</v>
      </c>
      <c r="B47">
        <v>0.36799999999999999</v>
      </c>
      <c r="C47">
        <v>0.33100000000000002</v>
      </c>
      <c r="D47">
        <v>0.26100000000000001</v>
      </c>
      <c r="E47">
        <v>0.33400000000000002</v>
      </c>
      <c r="F47">
        <f t="shared" si="0"/>
        <v>-3.3999999999999975E-2</v>
      </c>
    </row>
    <row r="48" spans="1:6" x14ac:dyDescent="0.35">
      <c r="A48" t="s">
        <v>68</v>
      </c>
      <c r="B48">
        <v>0.36799999999999999</v>
      </c>
      <c r="C48">
        <v>0.312</v>
      </c>
      <c r="D48">
        <v>0.33300000000000002</v>
      </c>
      <c r="E48">
        <v>0.32900000000000001</v>
      </c>
      <c r="F48">
        <f t="shared" si="0"/>
        <v>-3.8999999999999979E-2</v>
      </c>
    </row>
    <row r="49" spans="1:6" x14ac:dyDescent="0.35">
      <c r="A49" t="s">
        <v>34</v>
      </c>
      <c r="B49">
        <v>0.39</v>
      </c>
      <c r="C49">
        <v>0.38700000000000001</v>
      </c>
      <c r="D49">
        <v>0.317</v>
      </c>
      <c r="E49">
        <v>0.32700000000000001</v>
      </c>
      <c r="F49">
        <f t="shared" si="0"/>
        <v>-6.3E-2</v>
      </c>
    </row>
    <row r="50" spans="1:6" x14ac:dyDescent="0.35">
      <c r="A50" t="s">
        <v>69</v>
      </c>
      <c r="B50">
        <v>0.34499999999999997</v>
      </c>
      <c r="C50">
        <v>0.34899999999999998</v>
      </c>
      <c r="D50">
        <v>0.32400000000000001</v>
      </c>
      <c r="E50">
        <v>0.32600000000000001</v>
      </c>
      <c r="F50">
        <f t="shared" si="0"/>
        <v>-1.8999999999999961E-2</v>
      </c>
    </row>
    <row r="51" spans="1:6" x14ac:dyDescent="0.35">
      <c r="A51" t="s">
        <v>84</v>
      </c>
      <c r="B51">
        <v>0.37</v>
      </c>
      <c r="C51">
        <v>0.29399999999999998</v>
      </c>
      <c r="D51">
        <v>0.33</v>
      </c>
      <c r="E51">
        <v>0.32600000000000001</v>
      </c>
      <c r="F51">
        <f t="shared" si="0"/>
        <v>-4.3999999999999984E-2</v>
      </c>
    </row>
    <row r="52" spans="1:6" x14ac:dyDescent="0.35">
      <c r="A52" t="s">
        <v>39</v>
      </c>
      <c r="B52">
        <v>0.33600000000000002</v>
      </c>
      <c r="C52">
        <v>0.27700000000000002</v>
      </c>
      <c r="D52">
        <v>0.27100000000000002</v>
      </c>
      <c r="E52">
        <v>0.32200000000000001</v>
      </c>
      <c r="F52">
        <f t="shared" si="0"/>
        <v>-1.4000000000000012E-2</v>
      </c>
    </row>
    <row r="53" spans="1:6" x14ac:dyDescent="0.35">
      <c r="A53" t="s">
        <v>82</v>
      </c>
      <c r="B53">
        <v>0.375</v>
      </c>
      <c r="C53">
        <v>0.375</v>
      </c>
      <c r="D53">
        <v>0.29099999999999998</v>
      </c>
      <c r="E53">
        <v>0.32200000000000001</v>
      </c>
      <c r="F53">
        <f t="shared" si="0"/>
        <v>-5.2999999999999992E-2</v>
      </c>
    </row>
    <row r="54" spans="1:6" x14ac:dyDescent="0.35">
      <c r="A54" t="s">
        <v>83</v>
      </c>
      <c r="B54">
        <v>0.38400000000000001</v>
      </c>
      <c r="C54">
        <v>0.318</v>
      </c>
      <c r="D54">
        <v>0.35699999999999998</v>
      </c>
      <c r="E54">
        <v>0.32100000000000001</v>
      </c>
      <c r="F54">
        <f t="shared" si="0"/>
        <v>-6.3E-2</v>
      </c>
    </row>
    <row r="55" spans="1:6" x14ac:dyDescent="0.35">
      <c r="A55" t="s">
        <v>90</v>
      </c>
      <c r="B55">
        <v>0.38</v>
      </c>
      <c r="C55">
        <v>0.318</v>
      </c>
      <c r="D55">
        <v>0.33100000000000002</v>
      </c>
      <c r="E55">
        <v>0.32100000000000001</v>
      </c>
      <c r="F55">
        <f t="shared" si="0"/>
        <v>-5.8999999999999997E-2</v>
      </c>
    </row>
    <row r="56" spans="1:6" x14ac:dyDescent="0.35">
      <c r="A56" t="s">
        <v>43</v>
      </c>
      <c r="B56">
        <v>0.34200000000000003</v>
      </c>
      <c r="C56">
        <v>0.307</v>
      </c>
      <c r="D56">
        <v>0.32900000000000001</v>
      </c>
      <c r="E56">
        <v>0.31900000000000001</v>
      </c>
      <c r="F56">
        <f t="shared" si="0"/>
        <v>-2.300000000000002E-2</v>
      </c>
    </row>
    <row r="57" spans="1:6" x14ac:dyDescent="0.35">
      <c r="A57" t="s">
        <v>91</v>
      </c>
      <c r="B57">
        <v>0.36899999999999999</v>
      </c>
      <c r="C57">
        <v>0.308</v>
      </c>
      <c r="D57">
        <v>0.33</v>
      </c>
      <c r="E57">
        <v>0.315</v>
      </c>
      <c r="F57">
        <f t="shared" si="0"/>
        <v>-5.3999999999999992E-2</v>
      </c>
    </row>
    <row r="58" spans="1:6" x14ac:dyDescent="0.35">
      <c r="A58" t="s">
        <v>45</v>
      </c>
      <c r="B58">
        <v>0.39300000000000002</v>
      </c>
      <c r="C58">
        <v>0.28399999999999997</v>
      </c>
      <c r="D58">
        <v>0.28499999999999998</v>
      </c>
      <c r="E58">
        <v>0.313</v>
      </c>
      <c r="F58">
        <f t="shared" si="0"/>
        <v>-8.0000000000000016E-2</v>
      </c>
    </row>
    <row r="59" spans="1:6" x14ac:dyDescent="0.35">
      <c r="A59" t="s">
        <v>37</v>
      </c>
      <c r="B59">
        <v>0.36499999999999999</v>
      </c>
      <c r="C59">
        <v>0.29499999999999998</v>
      </c>
      <c r="D59">
        <v>0.28799999999999998</v>
      </c>
      <c r="E59">
        <v>0.31</v>
      </c>
      <c r="F59">
        <f t="shared" si="0"/>
        <v>-5.4999999999999993E-2</v>
      </c>
    </row>
    <row r="60" spans="1:6" x14ac:dyDescent="0.35">
      <c r="A60" t="s">
        <v>55</v>
      </c>
      <c r="B60">
        <v>0.35799999999999998</v>
      </c>
      <c r="C60">
        <v>0.313</v>
      </c>
      <c r="D60">
        <v>0.314</v>
      </c>
      <c r="E60">
        <v>0.31</v>
      </c>
      <c r="F60">
        <f t="shared" si="0"/>
        <v>-4.7999999999999987E-2</v>
      </c>
    </row>
    <row r="61" spans="1:6" x14ac:dyDescent="0.35">
      <c r="A61" t="s">
        <v>36</v>
      </c>
      <c r="B61">
        <v>0.35099999999999998</v>
      </c>
      <c r="C61">
        <v>0.29099999999999998</v>
      </c>
      <c r="D61">
        <v>0.28599999999999998</v>
      </c>
      <c r="E61">
        <v>0.307</v>
      </c>
      <c r="F61">
        <f t="shared" si="0"/>
        <v>-4.3999999999999984E-2</v>
      </c>
    </row>
    <row r="62" spans="1:6" x14ac:dyDescent="0.35">
      <c r="A62" t="s">
        <v>88</v>
      </c>
      <c r="B62">
        <v>0.34</v>
      </c>
      <c r="C62">
        <v>0.25700000000000001</v>
      </c>
      <c r="D62">
        <v>0.254</v>
      </c>
      <c r="E62">
        <v>0.3</v>
      </c>
      <c r="F62">
        <f t="shared" si="0"/>
        <v>-4.0000000000000036E-2</v>
      </c>
    </row>
    <row r="63" spans="1:6" x14ac:dyDescent="0.35">
      <c r="A63" t="s">
        <v>40</v>
      </c>
      <c r="B63">
        <v>0.372</v>
      </c>
      <c r="C63">
        <v>0.27700000000000002</v>
      </c>
      <c r="D63">
        <v>0.26800000000000002</v>
      </c>
      <c r="E63">
        <v>0.28599999999999998</v>
      </c>
      <c r="F63">
        <f t="shared" si="0"/>
        <v>-8.6000000000000021E-2</v>
      </c>
    </row>
    <row r="64" spans="1:6" x14ac:dyDescent="0.35">
      <c r="A64" t="s">
        <v>41</v>
      </c>
      <c r="B64">
        <v>0.33900000000000002</v>
      </c>
      <c r="C64">
        <v>0.28699999999999998</v>
      </c>
      <c r="D64">
        <v>0.28199999999999997</v>
      </c>
      <c r="E64">
        <v>0.28499999999999998</v>
      </c>
      <c r="F64">
        <f t="shared" si="0"/>
        <v>-5.4000000000000048E-2</v>
      </c>
    </row>
    <row r="65" spans="1:6" x14ac:dyDescent="0.35">
      <c r="A65" t="s">
        <v>95</v>
      </c>
      <c r="B65">
        <v>0.40100000000000002</v>
      </c>
      <c r="C65">
        <v>0.29199999999999998</v>
      </c>
      <c r="D65">
        <v>0.249</v>
      </c>
      <c r="E65">
        <v>0.28100000000000003</v>
      </c>
      <c r="F65">
        <f t="shared" si="0"/>
        <v>-0.12</v>
      </c>
    </row>
    <row r="66" spans="1:6" x14ac:dyDescent="0.35">
      <c r="A66" t="s">
        <v>100</v>
      </c>
      <c r="B66">
        <v>0.42599999999999999</v>
      </c>
      <c r="C66">
        <v>0.32700000000000001</v>
      </c>
      <c r="D66">
        <v>0.34300000000000003</v>
      </c>
      <c r="E66">
        <v>0.28000000000000003</v>
      </c>
      <c r="F66">
        <f t="shared" si="0"/>
        <v>-0.14599999999999996</v>
      </c>
    </row>
    <row r="67" spans="1:6" x14ac:dyDescent="0.35">
      <c r="A67" t="s">
        <v>38</v>
      </c>
      <c r="B67">
        <v>0.39700000000000002</v>
      </c>
      <c r="C67">
        <v>0.27400000000000002</v>
      </c>
      <c r="D67">
        <v>0.309</v>
      </c>
      <c r="E67">
        <v>0.27700000000000002</v>
      </c>
      <c r="F67">
        <f t="shared" si="0"/>
        <v>-0.12</v>
      </c>
    </row>
    <row r="68" spans="1:6" x14ac:dyDescent="0.35">
      <c r="A68" t="s">
        <v>62</v>
      </c>
      <c r="B68">
        <v>0.37</v>
      </c>
      <c r="C68">
        <v>0.33100000000000002</v>
      </c>
      <c r="D68">
        <v>0.317</v>
      </c>
      <c r="E68">
        <v>0.25800000000000001</v>
      </c>
      <c r="F68">
        <f t="shared" si="0"/>
        <v>-0.11199999999999999</v>
      </c>
    </row>
    <row r="69" spans="1:6" x14ac:dyDescent="0.35">
      <c r="A69" t="s">
        <v>85</v>
      </c>
      <c r="B69">
        <v>0.374</v>
      </c>
      <c r="C69">
        <v>0.28499999999999998</v>
      </c>
      <c r="D69">
        <v>0.28499999999999998</v>
      </c>
      <c r="E69">
        <v>0.25600000000000001</v>
      </c>
      <c r="F69">
        <f>E69-B69</f>
        <v>-0.11799999999999999</v>
      </c>
    </row>
    <row r="70" spans="1:6" x14ac:dyDescent="0.35">
      <c r="A70" t="s">
        <v>101</v>
      </c>
      <c r="B70">
        <v>0.33900000000000002</v>
      </c>
      <c r="C70">
        <v>0.33100000000000002</v>
      </c>
      <c r="D70">
        <v>0.27900000000000003</v>
      </c>
      <c r="E70">
        <v>0.23400000000000001</v>
      </c>
      <c r="F70">
        <f>E70-B70</f>
        <v>-0.10500000000000001</v>
      </c>
    </row>
    <row r="71" spans="1:6" x14ac:dyDescent="0.35">
      <c r="A71" t="s">
        <v>42</v>
      </c>
      <c r="B71">
        <v>0.32300000000000001</v>
      </c>
      <c r="C71">
        <v>0.28599999999999998</v>
      </c>
      <c r="D71">
        <v>0.25600000000000001</v>
      </c>
      <c r="E71">
        <v>0.221</v>
      </c>
      <c r="F71">
        <f>E71-B71</f>
        <v>-0.10200000000000001</v>
      </c>
    </row>
    <row r="72" spans="1:6" x14ac:dyDescent="0.35">
      <c r="A72" t="s">
        <v>44</v>
      </c>
      <c r="B72">
        <v>0.34</v>
      </c>
      <c r="C72">
        <v>0.32900000000000001</v>
      </c>
      <c r="D72">
        <v>0.32900000000000001</v>
      </c>
      <c r="E72">
        <v>0.20699999999999999</v>
      </c>
      <c r="F72">
        <f>E72-B72</f>
        <v>-0.13300000000000003</v>
      </c>
    </row>
    <row r="73" spans="1:6" x14ac:dyDescent="0.35">
      <c r="A73" t="s">
        <v>75</v>
      </c>
      <c r="B73">
        <v>0.315</v>
      </c>
      <c r="C73">
        <v>0.23599999999999999</v>
      </c>
      <c r="D73">
        <v>0.25900000000000001</v>
      </c>
      <c r="E73">
        <v>0.20300000000000001</v>
      </c>
      <c r="F73">
        <f>E73-B73</f>
        <v>-0.11199999999999999</v>
      </c>
    </row>
  </sheetData>
  <autoFilter ref="A4:E73" xr:uid="{79DEC34F-05BF-4591-B11C-32334CC5DA89}">
    <sortState xmlns:xlrd2="http://schemas.microsoft.com/office/spreadsheetml/2017/richdata2" ref="A5:E73">
      <sortCondition descending="1" ref="E4:E73"/>
    </sortState>
  </autoFilter>
  <sortState xmlns:xlrd2="http://schemas.microsoft.com/office/spreadsheetml/2017/richdata2" ref="A5:E73">
    <sortCondition descending="1" ref="E3:E73"/>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6DAF-52FB-487F-B52B-166276F5EDCD}">
  <dimension ref="A1:I19"/>
  <sheetViews>
    <sheetView workbookViewId="0">
      <selection activeCell="C7" sqref="C7"/>
    </sheetView>
  </sheetViews>
  <sheetFormatPr defaultRowHeight="14.5" x14ac:dyDescent="0.35"/>
  <cols>
    <col min="1" max="1" width="42.90625" customWidth="1"/>
    <col min="2" max="2" width="31.81640625" customWidth="1"/>
  </cols>
  <sheetData>
    <row r="1" spans="1:9" x14ac:dyDescent="0.35">
      <c r="A1" t="s">
        <v>15</v>
      </c>
    </row>
    <row r="3" spans="1:9" x14ac:dyDescent="0.35">
      <c r="A3" t="s">
        <v>16</v>
      </c>
      <c r="B3" t="s">
        <v>17</v>
      </c>
      <c r="C3">
        <v>2005</v>
      </c>
      <c r="D3">
        <v>2009</v>
      </c>
      <c r="E3">
        <v>2011</v>
      </c>
      <c r="F3">
        <v>2013</v>
      </c>
      <c r="G3">
        <v>2017</v>
      </c>
      <c r="H3">
        <v>2019</v>
      </c>
      <c r="I3">
        <v>2020</v>
      </c>
    </row>
    <row r="4" spans="1:9" x14ac:dyDescent="0.35">
      <c r="A4" t="s">
        <v>18</v>
      </c>
      <c r="B4" t="s">
        <v>19</v>
      </c>
      <c r="C4">
        <v>506.2</v>
      </c>
      <c r="D4">
        <v>703.4</v>
      </c>
      <c r="E4">
        <v>977.7</v>
      </c>
      <c r="F4">
        <v>1148.5</v>
      </c>
      <c r="G4">
        <v>1272.4000000000001</v>
      </c>
      <c r="H4">
        <v>1122.8</v>
      </c>
      <c r="I4">
        <v>1150.3</v>
      </c>
    </row>
    <row r="5" spans="1:9" x14ac:dyDescent="0.35">
      <c r="A5" t="s">
        <v>18</v>
      </c>
      <c r="B5" t="s">
        <v>20</v>
      </c>
      <c r="C5">
        <v>110.3</v>
      </c>
      <c r="D5">
        <v>171</v>
      </c>
      <c r="E5">
        <v>227.2</v>
      </c>
      <c r="F5">
        <v>284.89999999999998</v>
      </c>
      <c r="G5">
        <v>306.8</v>
      </c>
      <c r="H5">
        <v>174.1</v>
      </c>
      <c r="I5">
        <v>177.4</v>
      </c>
    </row>
    <row r="6" spans="1:9" x14ac:dyDescent="0.35">
      <c r="A6" t="s">
        <v>18</v>
      </c>
      <c r="B6" t="s">
        <v>21</v>
      </c>
      <c r="C6">
        <v>88.6</v>
      </c>
      <c r="D6">
        <v>166</v>
      </c>
      <c r="E6">
        <v>230.8</v>
      </c>
      <c r="F6">
        <v>279</v>
      </c>
      <c r="G6">
        <v>304.10000000000002</v>
      </c>
      <c r="H6">
        <v>291.89999999999998</v>
      </c>
      <c r="I6">
        <v>300.89999999999998</v>
      </c>
    </row>
    <row r="7" spans="1:9" x14ac:dyDescent="0.35">
      <c r="A7" t="s">
        <v>18</v>
      </c>
      <c r="B7" t="s">
        <v>22</v>
      </c>
      <c r="C7">
        <v>162</v>
      </c>
      <c r="D7">
        <v>171.9</v>
      </c>
      <c r="E7">
        <v>216.1</v>
      </c>
      <c r="F7">
        <v>255.9</v>
      </c>
      <c r="G7">
        <v>259.89999999999998</v>
      </c>
      <c r="H7">
        <v>270</v>
      </c>
      <c r="I7">
        <v>259.10000000000002</v>
      </c>
    </row>
    <row r="8" spans="1:9" x14ac:dyDescent="0.35">
      <c r="A8" t="s">
        <v>18</v>
      </c>
      <c r="B8" t="s">
        <v>23</v>
      </c>
      <c r="C8">
        <v>19.7</v>
      </c>
      <c r="D8">
        <v>38.6</v>
      </c>
      <c r="E8">
        <v>52.1</v>
      </c>
      <c r="F8">
        <v>76.599999999999994</v>
      </c>
      <c r="G8">
        <v>99</v>
      </c>
      <c r="H8">
        <v>91.1</v>
      </c>
      <c r="I8">
        <v>93</v>
      </c>
    </row>
    <row r="9" spans="1:9" x14ac:dyDescent="0.35">
      <c r="A9" t="s">
        <v>18</v>
      </c>
      <c r="B9" t="s">
        <v>24</v>
      </c>
      <c r="C9">
        <v>75.7</v>
      </c>
      <c r="D9">
        <v>97.4</v>
      </c>
      <c r="E9">
        <v>132.9</v>
      </c>
      <c r="F9">
        <v>155.69999999999999</v>
      </c>
      <c r="G9">
        <v>206.2</v>
      </c>
      <c r="H9">
        <v>186.4</v>
      </c>
      <c r="I9">
        <v>193.7</v>
      </c>
    </row>
    <row r="10" spans="1:9" x14ac:dyDescent="0.35">
      <c r="A10" t="s">
        <v>18</v>
      </c>
      <c r="B10" t="s">
        <v>25</v>
      </c>
      <c r="C10">
        <v>4.5999999999999996</v>
      </c>
      <c r="D10">
        <v>6</v>
      </c>
      <c r="E10">
        <v>15.6</v>
      </c>
      <c r="F10">
        <v>15.4</v>
      </c>
      <c r="G10">
        <v>20.5</v>
      </c>
      <c r="H10">
        <v>6.8</v>
      </c>
      <c r="I10">
        <v>10.8</v>
      </c>
    </row>
    <row r="11" spans="1:9" x14ac:dyDescent="0.35">
      <c r="A11" t="s">
        <v>18</v>
      </c>
      <c r="B11" t="s">
        <v>26</v>
      </c>
      <c r="C11">
        <v>45.3</v>
      </c>
      <c r="D11">
        <v>52.5</v>
      </c>
      <c r="E11">
        <v>103</v>
      </c>
      <c r="F11">
        <v>81</v>
      </c>
      <c r="G11">
        <v>75.900000000000006</v>
      </c>
      <c r="H11">
        <v>102.6</v>
      </c>
      <c r="I11">
        <v>115.3</v>
      </c>
    </row>
    <row r="12" spans="1:9" x14ac:dyDescent="0.35">
      <c r="A12" t="s">
        <v>27</v>
      </c>
      <c r="B12" t="s">
        <v>19</v>
      </c>
      <c r="C12">
        <v>100</v>
      </c>
      <c r="D12">
        <v>100</v>
      </c>
      <c r="E12">
        <v>100</v>
      </c>
      <c r="F12">
        <v>100</v>
      </c>
      <c r="G12">
        <v>100</v>
      </c>
      <c r="H12">
        <v>100</v>
      </c>
      <c r="I12">
        <v>100</v>
      </c>
    </row>
    <row r="13" spans="1:9" x14ac:dyDescent="0.35">
      <c r="A13" t="s">
        <v>27</v>
      </c>
      <c r="B13" t="s">
        <v>20</v>
      </c>
      <c r="C13">
        <v>21.8</v>
      </c>
      <c r="D13">
        <v>24.3</v>
      </c>
      <c r="E13">
        <v>23.2</v>
      </c>
      <c r="F13">
        <v>24.8</v>
      </c>
      <c r="G13">
        <v>24.1</v>
      </c>
      <c r="H13">
        <v>15.5</v>
      </c>
      <c r="I13">
        <v>15.4</v>
      </c>
    </row>
    <row r="14" spans="1:9" x14ac:dyDescent="0.35">
      <c r="A14" t="s">
        <v>27</v>
      </c>
      <c r="B14" t="s">
        <v>21</v>
      </c>
      <c r="C14">
        <v>17.5</v>
      </c>
      <c r="D14">
        <v>23.6</v>
      </c>
      <c r="E14">
        <v>23.6</v>
      </c>
      <c r="F14">
        <v>24.3</v>
      </c>
      <c r="G14">
        <v>23.9</v>
      </c>
      <c r="H14">
        <v>26</v>
      </c>
      <c r="I14">
        <v>26.2</v>
      </c>
    </row>
    <row r="15" spans="1:9" x14ac:dyDescent="0.35">
      <c r="A15" t="s">
        <v>27</v>
      </c>
      <c r="B15" t="s">
        <v>22</v>
      </c>
      <c r="C15">
        <v>32</v>
      </c>
      <c r="D15">
        <v>24.4</v>
      </c>
      <c r="E15">
        <v>22.1</v>
      </c>
      <c r="F15">
        <v>22.3</v>
      </c>
      <c r="G15">
        <v>20.399999999999999</v>
      </c>
      <c r="H15">
        <v>24.1</v>
      </c>
      <c r="I15">
        <v>22.5</v>
      </c>
    </row>
    <row r="16" spans="1:9" x14ac:dyDescent="0.35">
      <c r="A16" t="s">
        <v>27</v>
      </c>
      <c r="B16" t="s">
        <v>23</v>
      </c>
      <c r="C16">
        <v>3.9</v>
      </c>
      <c r="D16">
        <v>5.5</v>
      </c>
      <c r="E16">
        <v>5.3</v>
      </c>
      <c r="F16">
        <v>6.7</v>
      </c>
      <c r="G16">
        <v>7.8</v>
      </c>
      <c r="H16">
        <v>8.1</v>
      </c>
      <c r="I16">
        <v>8.1</v>
      </c>
    </row>
    <row r="17" spans="1:9" x14ac:dyDescent="0.35">
      <c r="A17" t="s">
        <v>27</v>
      </c>
      <c r="B17" t="s">
        <v>24</v>
      </c>
      <c r="C17">
        <v>15</v>
      </c>
      <c r="D17">
        <v>13.8</v>
      </c>
      <c r="E17">
        <v>13.6</v>
      </c>
      <c r="F17">
        <v>13.6</v>
      </c>
      <c r="G17">
        <v>16.2</v>
      </c>
      <c r="H17">
        <v>16.600000000000001</v>
      </c>
      <c r="I17">
        <v>16.8</v>
      </c>
    </row>
    <row r="18" spans="1:9" x14ac:dyDescent="0.35">
      <c r="A18" t="s">
        <v>27</v>
      </c>
      <c r="B18" t="s">
        <v>25</v>
      </c>
      <c r="C18">
        <v>0.9</v>
      </c>
      <c r="D18">
        <v>0.9</v>
      </c>
      <c r="E18">
        <v>1.6</v>
      </c>
      <c r="F18">
        <v>1.3</v>
      </c>
      <c r="G18">
        <v>1.6</v>
      </c>
      <c r="H18">
        <v>0.6</v>
      </c>
      <c r="I18">
        <v>1</v>
      </c>
    </row>
    <row r="19" spans="1:9" x14ac:dyDescent="0.35">
      <c r="A19" t="s">
        <v>27</v>
      </c>
      <c r="B19" t="s">
        <v>26</v>
      </c>
      <c r="C19">
        <v>8.9</v>
      </c>
      <c r="D19">
        <v>7.5</v>
      </c>
      <c r="E19">
        <v>10.6</v>
      </c>
      <c r="F19">
        <v>7</v>
      </c>
      <c r="G19">
        <v>6</v>
      </c>
      <c r="H19">
        <v>9.1</v>
      </c>
      <c r="I19">
        <v>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A53B-7129-4B33-AF9B-BD84301E8AFA}">
  <dimension ref="A1:H19"/>
  <sheetViews>
    <sheetView workbookViewId="0">
      <selection activeCell="H10" sqref="H10"/>
    </sheetView>
  </sheetViews>
  <sheetFormatPr defaultRowHeight="14.5" x14ac:dyDescent="0.35"/>
  <cols>
    <col min="1" max="1" width="32.6328125" customWidth="1"/>
  </cols>
  <sheetData>
    <row r="1" spans="1:8" x14ac:dyDescent="0.35">
      <c r="A1" t="s">
        <v>28</v>
      </c>
    </row>
    <row r="3" spans="1:8" x14ac:dyDescent="0.35">
      <c r="A3" t="s">
        <v>29</v>
      </c>
      <c r="B3" t="s">
        <v>17</v>
      </c>
      <c r="C3">
        <v>2005</v>
      </c>
      <c r="D3">
        <v>2009</v>
      </c>
      <c r="E3">
        <v>2011</v>
      </c>
      <c r="F3">
        <v>2013</v>
      </c>
      <c r="G3">
        <v>2017</v>
      </c>
      <c r="H3">
        <v>2019</v>
      </c>
    </row>
    <row r="4" spans="1:8" x14ac:dyDescent="0.35">
      <c r="A4" t="s">
        <v>30</v>
      </c>
      <c r="B4" t="s">
        <v>19</v>
      </c>
      <c r="C4">
        <v>76.400000000000006</v>
      </c>
      <c r="D4">
        <v>91.2</v>
      </c>
      <c r="E4">
        <v>105.7</v>
      </c>
      <c r="F4">
        <v>95.8</v>
      </c>
      <c r="G4">
        <v>96</v>
      </c>
      <c r="H4">
        <v>117.8</v>
      </c>
    </row>
    <row r="5" spans="1:8" x14ac:dyDescent="0.35">
      <c r="A5" t="s">
        <v>30</v>
      </c>
      <c r="B5" t="s">
        <v>20</v>
      </c>
      <c r="C5">
        <v>19.2</v>
      </c>
      <c r="D5">
        <v>25.7</v>
      </c>
      <c r="E5">
        <v>28.2</v>
      </c>
      <c r="F5">
        <v>26.8</v>
      </c>
      <c r="G5">
        <v>30.3</v>
      </c>
      <c r="H5">
        <v>35.5</v>
      </c>
    </row>
    <row r="6" spans="1:8" x14ac:dyDescent="0.35">
      <c r="A6" t="s">
        <v>30</v>
      </c>
      <c r="B6" t="s">
        <v>21</v>
      </c>
      <c r="C6">
        <v>14</v>
      </c>
      <c r="D6">
        <v>19.2</v>
      </c>
      <c r="E6">
        <v>21.3</v>
      </c>
      <c r="F6">
        <v>21.3</v>
      </c>
      <c r="G6">
        <v>22.2</v>
      </c>
      <c r="H6">
        <v>25.8</v>
      </c>
    </row>
    <row r="7" spans="1:8" x14ac:dyDescent="0.35">
      <c r="A7" t="s">
        <v>30</v>
      </c>
      <c r="B7" t="s">
        <v>31</v>
      </c>
      <c r="C7">
        <v>14.3</v>
      </c>
      <c r="D7">
        <v>14.9</v>
      </c>
      <c r="E7">
        <v>18.600000000000001</v>
      </c>
      <c r="F7">
        <v>16.7</v>
      </c>
      <c r="G7">
        <v>15.1</v>
      </c>
      <c r="H7">
        <v>18.899999999999999</v>
      </c>
    </row>
    <row r="8" spans="1:8" x14ac:dyDescent="0.35">
      <c r="A8" t="s">
        <v>30</v>
      </c>
      <c r="B8" t="s">
        <v>23</v>
      </c>
      <c r="C8">
        <v>5.8</v>
      </c>
      <c r="D8">
        <v>7.6</v>
      </c>
      <c r="E8">
        <v>7.9</v>
      </c>
      <c r="F8">
        <v>7.4</v>
      </c>
      <c r="G8">
        <v>8.4</v>
      </c>
      <c r="H8">
        <v>10.6</v>
      </c>
    </row>
    <row r="9" spans="1:8" x14ac:dyDescent="0.35">
      <c r="A9" t="s">
        <v>30</v>
      </c>
      <c r="B9" t="s">
        <v>24</v>
      </c>
      <c r="C9">
        <v>12.7</v>
      </c>
      <c r="D9">
        <v>14.1</v>
      </c>
      <c r="E9">
        <v>15.5</v>
      </c>
      <c r="F9">
        <v>12.7</v>
      </c>
      <c r="G9">
        <v>14.5</v>
      </c>
      <c r="H9">
        <v>19.7</v>
      </c>
    </row>
    <row r="10" spans="1:8" x14ac:dyDescent="0.35">
      <c r="A10" t="s">
        <v>30</v>
      </c>
      <c r="B10" t="s">
        <v>25</v>
      </c>
      <c r="C10">
        <v>1.1000000000000001</v>
      </c>
      <c r="D10">
        <v>1</v>
      </c>
      <c r="E10">
        <v>1.1000000000000001</v>
      </c>
      <c r="F10">
        <v>1</v>
      </c>
      <c r="G10">
        <v>0.8</v>
      </c>
      <c r="H10">
        <v>1.3</v>
      </c>
    </row>
    <row r="11" spans="1:8" x14ac:dyDescent="0.35">
      <c r="A11" t="s">
        <v>30</v>
      </c>
      <c r="B11" t="s">
        <v>26</v>
      </c>
      <c r="C11">
        <v>9.3000000000000007</v>
      </c>
      <c r="D11">
        <v>8.6999999999999993</v>
      </c>
      <c r="E11">
        <v>13.1</v>
      </c>
      <c r="F11">
        <v>9.9</v>
      </c>
      <c r="G11">
        <v>4.7</v>
      </c>
      <c r="H11">
        <v>6.1</v>
      </c>
    </row>
    <row r="12" spans="1:8" x14ac:dyDescent="0.35">
      <c r="A12" t="s">
        <v>27</v>
      </c>
      <c r="B12" t="s">
        <v>19</v>
      </c>
      <c r="C12">
        <v>100</v>
      </c>
      <c r="D12">
        <v>100</v>
      </c>
      <c r="E12">
        <v>100</v>
      </c>
      <c r="F12">
        <v>100</v>
      </c>
      <c r="G12">
        <v>100</v>
      </c>
      <c r="H12">
        <v>100</v>
      </c>
    </row>
    <row r="13" spans="1:8" x14ac:dyDescent="0.35">
      <c r="A13" t="s">
        <v>27</v>
      </c>
      <c r="B13" t="s">
        <v>20</v>
      </c>
      <c r="C13">
        <v>25.1</v>
      </c>
      <c r="D13">
        <v>28.2</v>
      </c>
      <c r="E13">
        <v>26.7</v>
      </c>
      <c r="F13">
        <v>28</v>
      </c>
      <c r="G13">
        <v>31.6</v>
      </c>
      <c r="H13">
        <v>30.2</v>
      </c>
    </row>
    <row r="14" spans="1:8" x14ac:dyDescent="0.35">
      <c r="A14" t="s">
        <v>27</v>
      </c>
      <c r="B14" t="s">
        <v>21</v>
      </c>
      <c r="C14">
        <v>18.3</v>
      </c>
      <c r="D14">
        <v>21.1</v>
      </c>
      <c r="E14">
        <v>20.2</v>
      </c>
      <c r="F14">
        <v>22.2</v>
      </c>
      <c r="G14">
        <v>23.1</v>
      </c>
      <c r="H14">
        <v>21.9</v>
      </c>
    </row>
    <row r="15" spans="1:8" x14ac:dyDescent="0.35">
      <c r="A15" t="s">
        <v>27</v>
      </c>
      <c r="B15" t="s">
        <v>31</v>
      </c>
      <c r="C15">
        <v>18.7</v>
      </c>
      <c r="D15">
        <v>16.3</v>
      </c>
      <c r="E15">
        <v>17.600000000000001</v>
      </c>
      <c r="F15">
        <v>17.399999999999999</v>
      </c>
      <c r="G15">
        <v>15.7</v>
      </c>
      <c r="H15">
        <v>16</v>
      </c>
    </row>
    <row r="16" spans="1:8" x14ac:dyDescent="0.35">
      <c r="A16" t="s">
        <v>27</v>
      </c>
      <c r="B16" t="s">
        <v>23</v>
      </c>
      <c r="C16">
        <v>7.6</v>
      </c>
      <c r="D16">
        <v>8.3000000000000007</v>
      </c>
      <c r="E16">
        <v>7.5</v>
      </c>
      <c r="F16">
        <v>7.7</v>
      </c>
      <c r="G16">
        <v>8.6999999999999993</v>
      </c>
      <c r="H16">
        <v>9</v>
      </c>
    </row>
    <row r="17" spans="1:8" x14ac:dyDescent="0.35">
      <c r="A17" t="s">
        <v>27</v>
      </c>
      <c r="B17" t="s">
        <v>24</v>
      </c>
      <c r="C17">
        <v>16.600000000000001</v>
      </c>
      <c r="D17">
        <v>15.5</v>
      </c>
      <c r="E17">
        <v>14.6</v>
      </c>
      <c r="F17">
        <v>13.3</v>
      </c>
      <c r="G17">
        <v>15.1</v>
      </c>
      <c r="H17">
        <v>16.7</v>
      </c>
    </row>
    <row r="18" spans="1:8" x14ac:dyDescent="0.35">
      <c r="A18" t="s">
        <v>27</v>
      </c>
      <c r="B18" t="s">
        <v>25</v>
      </c>
      <c r="C18">
        <v>1.4</v>
      </c>
      <c r="D18">
        <v>1.1000000000000001</v>
      </c>
      <c r="E18">
        <v>1</v>
      </c>
      <c r="F18">
        <v>1</v>
      </c>
      <c r="G18">
        <v>0.9</v>
      </c>
      <c r="H18">
        <v>1.1000000000000001</v>
      </c>
    </row>
    <row r="19" spans="1:8" x14ac:dyDescent="0.35">
      <c r="A19" t="s">
        <v>27</v>
      </c>
      <c r="B19" t="s">
        <v>26</v>
      </c>
      <c r="C19">
        <v>12.3</v>
      </c>
      <c r="D19">
        <v>9.5</v>
      </c>
      <c r="E19">
        <v>12.4</v>
      </c>
      <c r="F19">
        <v>10.4</v>
      </c>
      <c r="G19">
        <v>4.9000000000000004</v>
      </c>
      <c r="H19">
        <v>5.0999999999999996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 description</vt:lpstr>
      <vt:lpstr>Data</vt:lpstr>
      <vt:lpstr>Whole country(wide)</vt:lpstr>
      <vt:lpstr>Data_map</vt:lpstr>
      <vt:lpstr>Outcome</vt:lpstr>
      <vt:lpstr>Poverty rate</vt:lpstr>
      <vt:lpstr>Turnover by province</vt:lpstr>
      <vt:lpstr>Turnover by region</vt:lpstr>
      <vt:lpstr>GDP per capita</vt:lpstr>
      <vt:lpstr>income per capita</vt:lpstr>
      <vt:lpstr>HDI</vt:lpstr>
      <vt:lpstr>Gini</vt:lpstr>
      <vt:lpstr>Exp_domestic</vt:lpstr>
      <vt:lpstr>Exp_foreing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Antonis Angelopoulos</dc:creator>
  <cp:lastModifiedBy>Antonis Angelopoulos</cp:lastModifiedBy>
  <dcterms:created xsi:type="dcterms:W3CDTF">2024-09-11T06:48:08Z</dcterms:created>
  <dcterms:modified xsi:type="dcterms:W3CDTF">2024-09-23T05:15:08Z</dcterms:modified>
</cp:coreProperties>
</file>